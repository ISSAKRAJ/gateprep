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racker" sheetId="2" state="visible" r:id="rId4"/>
    <sheet name="Mocks" sheetId="3" state="visible" r:id="rId5"/>
    <sheet name="Mistake Log" sheetId="4" state="visible" r:id="rId6"/>
    <sheet name="Syllabus 2027" sheetId="5" state="visible" r:id="rId7"/>
  </sheets>
  <definedNames>
    <definedName function="false" hidden="true" localSheetId="1" name="_xlnm._FilterDatabase" vbProcedure="false">Tracker!$A$1:$L$105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<sst xmlns="http://schemas.openxmlformats.org/spreadsheetml/2006/main" count="409" uniqueCount="168">
  <si>
    <t xml:space="preserve">GATE CS 2027 Study Tracker: 25 Oct 2026 to 5 Feb 2027 (104 days)</t>
  </si>
  <si>
    <t xml:space="preserve">Fill the yellow cells in the Tracker every night (Status, Aptitude, Actual Hrs, PYQs, Notes). Do 30-60 min of General Aptitude daily. Everything on this sheet updates by itself.</t>
  </si>
  <si>
    <t xml:space="preserve">Exam start date (edit to your CS paper date)</t>
  </si>
  <si>
    <t xml:space="preserve">Days left to exam</t>
  </si>
  <si>
    <t xml:space="preserve">Total days in plan</t>
  </si>
  <si>
    <t xml:space="preserve">Days fully done</t>
  </si>
  <si>
    <t xml:space="preserve">Days partly done</t>
  </si>
  <si>
    <t xml:space="preserve">Plan completed (%)</t>
  </si>
  <si>
    <t xml:space="preserve">Missed days (past, not marked)</t>
  </si>
  <si>
    <t xml:space="preserve">Planned hours (total)</t>
  </si>
  <si>
    <t xml:space="preserve">Actual hours studied</t>
  </si>
  <si>
    <t xml:space="preserve">Actual vs planned (%)</t>
  </si>
  <si>
    <t xml:space="preserve">Total PYQs solved</t>
  </si>
  <si>
    <t xml:space="preserve">Days aptitude done</t>
  </si>
  <si>
    <t xml:space="preserve">Full mocks taken</t>
  </si>
  <si>
    <t xml:space="preserve">Average mock score (out of 100)</t>
  </si>
  <si>
    <t xml:space="preserve">Subject progress (learning phase)</t>
  </si>
  <si>
    <t xml:space="preserve">Subject</t>
  </si>
  <si>
    <t xml:space="preserve">Days planned</t>
  </si>
  <si>
    <t xml:space="preserve">Days done</t>
  </si>
  <si>
    <t xml:space="preserve">% done</t>
  </si>
  <si>
    <t xml:space="preserve">Confidence (1-5, you fill)</t>
  </si>
  <si>
    <t xml:space="preserve">C + Data Structures</t>
  </si>
  <si>
    <t xml:space="preserve">Algorithms</t>
  </si>
  <si>
    <t xml:space="preserve">Discrete Maths</t>
  </si>
  <si>
    <t xml:space="preserve">Maths (Prob, LA, Calc)</t>
  </si>
  <si>
    <t xml:space="preserve">Theory of Computation</t>
  </si>
  <si>
    <t xml:space="preserve">Operating Systems</t>
  </si>
  <si>
    <t xml:space="preserve">DBMS</t>
  </si>
  <si>
    <t xml:space="preserve">Computer Networks</t>
  </si>
  <si>
    <t xml:space="preserve">Computer Organization</t>
  </si>
  <si>
    <t xml:space="preserve">Digital Logic</t>
  </si>
  <si>
    <t xml:space="preserve">Compiler Design</t>
  </si>
  <si>
    <t xml:space="preserve">Weekly summary</t>
  </si>
  <si>
    <t xml:space="preserve">Week starting</t>
  </si>
  <si>
    <t xml:space="preserve">Planned hrs</t>
  </si>
  <si>
    <t xml:space="preserve">Actual hrs</t>
  </si>
  <si>
    <t xml:space="preserve">PYQs solved</t>
  </si>
  <si>
    <t xml:space="preserve">Assumption: after Nov 16 you have about 8 hrs/day free (post sem exams). If classes continue, set weekday planned hours to 4.5 in the Tracker and shift topics later. Exam dates from gate2027.iitm.ac.in.</t>
  </si>
  <si>
    <t xml:space="preserve">Day</t>
  </si>
  <si>
    <t xml:space="preserve">Date</t>
  </si>
  <si>
    <t xml:space="preserve">Weekday</t>
  </si>
  <si>
    <t xml:space="preserve">Phase</t>
  </si>
  <si>
    <t xml:space="preserve">Subject / Focus</t>
  </si>
  <si>
    <t xml:space="preserve">Today's Tasks</t>
  </si>
  <si>
    <t xml:space="preserve">Planned Hrs</t>
  </si>
  <si>
    <t xml:space="preserve">Status</t>
  </si>
  <si>
    <t xml:space="preserve">Aptitude done?</t>
  </si>
  <si>
    <t xml:space="preserve">Actual Hrs</t>
  </si>
  <si>
    <t xml:space="preserve">PYQs Solved</t>
  </si>
  <si>
    <t xml:space="preserve">Notes</t>
  </si>
  <si>
    <t xml:space="preserve">Phase 1: Start</t>
  </si>
  <si>
    <t xml:space="preserve">Learn/solve: C basics: pointers, arrays, strings, storage classes</t>
  </si>
  <si>
    <t xml:space="preserve">Learn/solve: C: functions, recursion, output tracing</t>
  </si>
  <si>
    <t xml:space="preserve">Learn/solve: Linked list, stack, queue</t>
  </si>
  <si>
    <t xml:space="preserve">Learn/solve: Trees, BST, heaps</t>
  </si>
  <si>
    <t xml:space="preserve">Learn/solve: AVL, hashing, graph basics</t>
  </si>
  <si>
    <t xml:space="preserve">Learn/solve: Mixed C + DS PYQs (timed)</t>
  </si>
  <si>
    <t xml:space="preserve">Learn/solve: Mixed C + DS PYQs, fix weak spots</t>
  </si>
  <si>
    <t xml:space="preserve">Weekly test: 30-40 timed PYQs on C + DS. Then check mistakes.</t>
  </si>
  <si>
    <t xml:space="preserve">Phase 2: Exams</t>
  </si>
  <si>
    <t xml:space="preserve">College exams (light GATE)</t>
  </si>
  <si>
    <t xml:space="preserve">Mid exams: 30 min aptitude + 1.5 hr PYQs (C/DS or your exam subject). No new topics. Skip GATE the day before an exam.</t>
  </si>
  <si>
    <t xml:space="preserve">Sem exams: 30 min aptitude + 1 hr PYQs only. No new topics. Skip GATE the day before an exam.</t>
  </si>
  <si>
    <t xml:space="preserve">Rest</t>
  </si>
  <si>
    <t xml:space="preserve">Full rest day. Light plan check only.</t>
  </si>
  <si>
    <t xml:space="preserve">Phase 3: Learn</t>
  </si>
  <si>
    <t xml:space="preserve">Learn: Complexity, recurrences, Master theorem. Then solve PYQs on it.</t>
  </si>
  <si>
    <t xml:space="preserve">Learn: Sorting, searching, divide and conquer. Then solve PYQs on it.</t>
  </si>
  <si>
    <t xml:space="preserve">Learn: Greedy: MST, Huffman, Dijkstra. Then solve PYQs on it.</t>
  </si>
  <si>
    <t xml:space="preserve">Learn: Dynamic programming. Then solve PYQs on it.</t>
  </si>
  <si>
    <t xml:space="preserve">Learn: Graph traversals (BFS/DFS), shortest paths (Bellman-Ford, Floyd-Warshall), hashing. Then solve PYQs on it.</t>
  </si>
  <si>
    <t xml:space="preserve">Learn: Propositional + first-order logic. Then solve PYQs on it. Half day: also 20 timed PYQs from this week + mistake review.</t>
  </si>
  <si>
    <t xml:space="preserve">Learn: Sets, relations, functions, partial orders. Then solve PYQs on it.</t>
  </si>
  <si>
    <t xml:space="preserve">Learn: Lattices, monoids, groups. Then solve PYQs on it.</t>
  </si>
  <si>
    <t xml:space="preserve">Learn: Combinatorics: counting, recurrence relations, generating functions. Then solve PYQs on it.</t>
  </si>
  <si>
    <t xml:space="preserve">Learn: Graph theory: connectivity, matching, colouring. Then solve PYQs on it.</t>
  </si>
  <si>
    <t xml:space="preserve">Learn: Probability: conditional probability, Bayes theorem. Then solve PYQs on it.</t>
  </si>
  <si>
    <t xml:space="preserve">Learn: Random variables, distributions (uniform, normal, exponential, Poisson, binomial), mean/median/mode/SD. Then solve PYQs on it.</t>
  </si>
  <si>
    <t xml:space="preserve">Learn: Linear algebra: matrices, determinants, linear systems, eigenvalues, LU decomposition. Then solve PYQs on it. Half day: also 20 timed PYQs from this week + mistake review.</t>
  </si>
  <si>
    <t xml:space="preserve">Learn: Calculus: limits, continuity, differentiability, maxima/minima, mean value theorem, integration. Then solve PYQs on it.</t>
  </si>
  <si>
    <t xml:space="preserve">Learn: Regular languages, DFA/NFA, regex. Then solve PYQs on it.</t>
  </si>
  <si>
    <t xml:space="preserve">Learn: CFG, PDA, closure properties. Then solve PYQs on it.</t>
  </si>
  <si>
    <t xml:space="preserve">Learn: Turing machines, decidability. Then solve PYQs on it.</t>
  </si>
  <si>
    <t xml:space="preserve">Learn: System calls, processes, threads, inter-process communication. Then solve PYQs on it.</t>
  </si>
  <si>
    <t xml:space="preserve">Learn: CPU scheduling. Then solve PYQs on it.</t>
  </si>
  <si>
    <t xml:space="preserve">Learn: Synchronization, semaphores, deadlocks. Then solve PYQs on it. Half day: also 20 timed PYQs from this week + mistake review.</t>
  </si>
  <si>
    <t xml:space="preserve">Learn: Memory management, paging, virtual memory. Then solve PYQs on it.</t>
  </si>
  <si>
    <t xml:space="preserve">Learn: File systems, I/O + disk scheduling. Then solve PYQs on it.</t>
  </si>
  <si>
    <t xml:space="preserve">Learn: ER model, relational algebra, tuple calculus, SQL. Then solve PYQs on it.</t>
  </si>
  <si>
    <t xml:space="preserve">Learn: Functional dependencies, normalization. Then solve PYQs on it.</t>
  </si>
  <si>
    <t xml:space="preserve">Learn: Transactions, concurrency control. Then solve PYQs on it.</t>
  </si>
  <si>
    <t xml:space="preserve">Learn: Indexing, B and B+ trees. Then solve PYQs on it.</t>
  </si>
  <si>
    <t xml:space="preserve">Learn: Principles of layering (no need for OSI/TCP-IP stack details), circuit/packet/virtual-circuit switching + performance metrics (delay, throughput). Then solve PYQs on it. Half day: also 20 timed PYQs from this week + mistake review.</t>
  </si>
  <si>
    <t xml:space="preserve">Learn: Data link: error detection (CRC, checksum), MAC (ALOHA, CSMA/CD), Ethernet. Skip framing + bridging. Then solve PYQs on it.</t>
  </si>
  <si>
    <t xml:space="preserve">Learn: Routing: distance vector + link state. IPv4: fragmentation, CIDR, NAT. Then solve PYQs on it.</t>
  </si>
  <si>
    <t xml:space="preserve">Learn: TCP flow + congestion control, socket API, DNS + HTTP. Skip UDP, ARP, DHCP, ICMP, SMTP, FTP, email. Then solve PYQs on it.</t>
  </si>
  <si>
    <t xml:space="preserve">Learn: Instruction set, addressing modes, instruction formats. Then solve PYQs on it.</t>
  </si>
  <si>
    <t xml:space="preserve">Learn: Design of ALU + control unit (hardwired vs microprogrammed). Then solve PYQs on it.</t>
  </si>
  <si>
    <t xml:space="preserve">Learn: Memory interfacing + hierarchy: performance, cache mapping (direct, set-associative). Keep disk calculations light. Then solve PYQs on it.</t>
  </si>
  <si>
    <t xml:space="preserve">Learn: Pipelining + hazards; I/O interface (interrupt, DMA). Then solve PYQs on it. Half day: also 20 timed PYQs from this week + mistake review.</t>
  </si>
  <si>
    <t xml:space="preserve">Learn: Boolean algebra + minimization: algebraic, K-map, tabular method (Quine-McCluskey). Then solve PYQs on it.</t>
  </si>
  <si>
    <t xml:space="preserve">Learn: DESIGN of combinational + sequential circuits; number representation + arithmetic (fixed + floating point). Then solve PYQs on it.</t>
  </si>
  <si>
    <t xml:space="preserve">Learn: Lexical analysis, parsing (LL, LR). Then solve PYQs on it.</t>
  </si>
  <si>
    <t xml:space="preserve">Learn: Syntax-directed translation, runtime environments, intermediate code, local optimization + data flow analysis. Then solve PYQs on it.</t>
  </si>
  <si>
    <t xml:space="preserve">Phase 4: Practice</t>
  </si>
  <si>
    <t xml:space="preserve">PYQ Practice</t>
  </si>
  <si>
    <t xml:space="preserve">Subject-wise PYQs: C + DS. Revise notes. Log all mistakes.</t>
  </si>
  <si>
    <t xml:space="preserve">Subject-wise PYQs: Algorithms. Revise notes. Log all mistakes.</t>
  </si>
  <si>
    <t xml:space="preserve">Full Mock</t>
  </si>
  <si>
    <t xml:space="preserve">Sunday half day: FULL MOCK TEST (3 hr) + 3 hr analysis. Log mistakes.</t>
  </si>
  <si>
    <t xml:space="preserve">Subject-wise PYQs: Discrete Maths. Revise notes. Log all mistakes.</t>
  </si>
  <si>
    <t xml:space="preserve">Subject-wise PYQs: Maths (Prob, LA, Calc). Revise notes. Log all mistakes.</t>
  </si>
  <si>
    <t xml:space="preserve">Subject-wise PYQs: Theory of Computation. Revise notes. Log all mistakes.</t>
  </si>
  <si>
    <t xml:space="preserve">Subject-wise PYQs: Operating Systems. Revise notes. Log all mistakes.</t>
  </si>
  <si>
    <t xml:space="preserve">Subject-wise PYQs: DBMS. Revise notes. Log all mistakes.</t>
  </si>
  <si>
    <t xml:space="preserve">Subject-wise PYQs: Computer Networks (only 2027 topics). Revise notes. Log all mistakes.</t>
  </si>
  <si>
    <t xml:space="preserve">Subject-wise PYQs: Computer Organization. Revise notes. Log all mistakes.</t>
  </si>
  <si>
    <t xml:space="preserve">Subject-wise PYQs: Digital Logic + Compiler Design. Revise notes. Log all mistakes.</t>
  </si>
  <si>
    <t xml:space="preserve">Round 2: PYQs on your weakest subject/topic (pick from mistake log).</t>
  </si>
  <si>
    <t xml:space="preserve">Phase 5: Mocks</t>
  </si>
  <si>
    <t xml:space="preserve">FULL MOCK TEST (3 hr). Then start analysis.</t>
  </si>
  <si>
    <t xml:space="preserve">Mock Analysis</t>
  </si>
  <si>
    <t xml:space="preserve">Analyse Monday's mock (3 hr). Fix 2 weak topics.</t>
  </si>
  <si>
    <t xml:space="preserve">Analyse Wednesday's mock (3 hr). Fix weak topics.</t>
  </si>
  <si>
    <t xml:space="preserve">Revision</t>
  </si>
  <si>
    <t xml:space="preserve">Revise formulas + mistake notebook. Short timed PYQ set.</t>
  </si>
  <si>
    <t xml:space="preserve">Analyse Saturday's mock + light revision. Half day.</t>
  </si>
  <si>
    <t xml:space="preserve">Phase 6: Final</t>
  </si>
  <si>
    <t xml:space="preserve">Light revision only: mistake notebook + formula sheet. 6-7 hrs sleep. No new topics.</t>
  </si>
  <si>
    <t xml:space="preserve">Rest. Check admit card, exam centre, ID. Early sleep.</t>
  </si>
  <si>
    <t xml:space="preserve">Mock test log (aim: 55-60+ out of 100 before the exam; top-1000 usually needs the 60s)</t>
  </si>
  <si>
    <t xml:space="preserve">Mock #</t>
  </si>
  <si>
    <t xml:space="preserve">Score (/100)</t>
  </si>
  <si>
    <t xml:space="preserve">Marks lost: concept gap</t>
  </si>
  <si>
    <t xml:space="preserve">Marks lost: silly mistake</t>
  </si>
  <si>
    <t xml:space="preserve">Marks lost: time pressure</t>
  </si>
  <si>
    <t xml:space="preserve">Weak topics to fix</t>
  </si>
  <si>
    <t xml:space="preserve">Example row: replace with your own (OS scheduling, CN subnetting)</t>
  </si>
  <si>
    <t xml:space="preserve">Mistake notebook: write every wrong question here, review it for 30 min daily</t>
  </si>
  <si>
    <t xml:space="preserve">Topic</t>
  </si>
  <si>
    <t xml:space="preserve">Source (year/mock)</t>
  </si>
  <si>
    <t xml:space="preserve">Mistake type</t>
  </si>
  <si>
    <t xml:space="preserve">What went wrong</t>
  </si>
  <si>
    <t xml:space="preserve">Correct idea / formula</t>
  </si>
  <si>
    <t xml:space="preserve">Revised? (Yes/No)</t>
  </si>
  <si>
    <t xml:space="preserve">Round robin</t>
  </si>
  <si>
    <t xml:space="preserve">GATE 2019</t>
  </si>
  <si>
    <t xml:space="preserve">Concept</t>
  </si>
  <si>
    <t xml:space="preserve">Forgot to count context switch time</t>
  </si>
  <si>
    <t xml:space="preserve">Add switch time to every slice change</t>
  </si>
  <si>
    <t xml:space="preserve">No</t>
  </si>
  <si>
    <t xml:space="preserve">GATE CS 2027 syllabus changes vs 2026 (7 of 10 sections unchanged)</t>
  </si>
  <si>
    <t xml:space="preserve">What changed</t>
  </si>
  <si>
    <t xml:space="preserve">What to do</t>
  </si>
  <si>
    <t xml:space="preserve">REMOVED (no longer listed): OSI + TCP/IP stacks, framing, Ethernet bridging, shortest-path + flooding as separate entries, ARP, DHCP, ICMP, UDP, SMTP, FTP, Email. NEW: performance metrics for switching. Application layer = DNS + HTTP only.</t>
  </si>
  <si>
    <t xml:space="preserve">Skip the removed topics. Keep: layering principles, switching, error detection, MAC, Ethernet, distance vector, link state, IPv4 fragmentation, CIDR, NAT, TCP flow/congestion control, socket API, DNS, HTTP.</t>
  </si>
  <si>
    <t xml:space="preserve">NEWLY NAMED: design of ALU, hardwired + microprogrammed control unit, memory interfacing, memory performance, cache mapping. No longer named: data-path, main memory, secondary storage.</t>
  </si>
  <si>
    <t xml:space="preserve">Add control unit design + memory interfacing. Keep cache mapping as the core. Disk calculations: not clearly removed, so keep a few.</t>
  </si>
  <si>
    <t xml:space="preserve">Minimization methods now named: algebraic, K-map, tabular method. Now says DESIGN of combinational + sequential circuits. Number representation + arithmetic (fixed + floating point) stays.</t>
  </si>
  <si>
    <t xml:space="preserve">Learn the tabular (Quine-McCluskey) method. Practise designing circuits from a word description.</t>
  </si>
  <si>
    <t xml:space="preserve">All other sections</t>
  </si>
  <si>
    <t xml:space="preserve">Engineering Maths, C + DS, Algorithms, TOC, Compiler Design, OS, DBMS: word for word the same as 2026.</t>
  </si>
  <si>
    <t xml:space="preserve">No change. Old PYQs and notes are still valid.</t>
  </si>
  <si>
    <t xml:space="preserve">Old PYQs</t>
  </si>
  <si>
    <t xml:space="preserve">Past questions on OSI layers, ARP, ICMP, SMTP, FTP, DHCP, UDP are now outside the syllabus.</t>
  </si>
  <si>
    <t xml:space="preserve">Skip those PYQs when solving CN.</t>
  </si>
  <si>
    <t xml:space="preserve">Source: official GATE 2027 CS syllabus PDF (IIT Madras) as compared with the 2026 syllabus by prosyllabus.com (checked 30 Sep 2026). The organiser has not published an itemised change list, so confirm against gate2027.iitm.ac.in.</t>
  </si>
</sst>
</file>

<file path=xl/styles.xml><?xml version="1.0" encoding="utf-8"?>
<styleSheet xmlns="http://schemas.openxmlformats.org/spreadsheetml/2006/main">
  <numFmts count="10">
    <numFmt numFmtId="164" formatCode="General"/>
    <numFmt numFmtId="165" formatCode="dd\-mmm\-yyyy"/>
    <numFmt numFmtId="166" formatCode="0"/>
    <numFmt numFmtId="167" formatCode="0.0%"/>
    <numFmt numFmtId="168" formatCode="0.0"/>
    <numFmt numFmtId="169" formatCode="#,##0"/>
    <numFmt numFmtId="170" formatCode="General"/>
    <numFmt numFmtId="171" formatCode="0%"/>
    <numFmt numFmtId="172" formatCode="dd\-mmm"/>
    <numFmt numFmtId="173" formatCode="dd\-mmm\-yy"/>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sz val="10"/>
      <name val="Arial"/>
      <family val="0"/>
      <charset val="1"/>
    </font>
    <font>
      <b val="true"/>
      <sz val="10"/>
      <color rgb="FF0000FF"/>
      <name val="Arial"/>
      <family val="0"/>
      <charset val="1"/>
    </font>
    <font>
      <b val="true"/>
      <sz val="10"/>
      <color rgb="FF000000"/>
      <name val="Arial"/>
      <family val="0"/>
      <charset val="1"/>
    </font>
    <font>
      <b val="true"/>
      <sz val="12"/>
      <color rgb="FF1F3864"/>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i val="true"/>
      <sz val="10"/>
      <color rgb="FF808080"/>
      <name val="Arial"/>
      <family val="0"/>
      <charset val="1"/>
    </font>
    <font>
      <b val="true"/>
      <sz val="10"/>
      <name val="Arial"/>
      <family val="0"/>
      <charset val="1"/>
    </font>
  </fonts>
  <fills count="4">
    <fill>
      <patternFill patternType="none"/>
    </fill>
    <fill>
      <patternFill patternType="gray125"/>
    </fill>
    <fill>
      <patternFill patternType="solid">
        <fgColor rgb="FFFFF9E5"/>
        <bgColor rgb="FFFF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9"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true" indent="0" shrinkToFit="false"/>
      <protection locked="true" hidden="false"/>
    </xf>
    <xf numFmtId="170" fontId="6" fillId="0" borderId="1" xfId="0" applyFont="true" applyBorder="true" applyAlignment="true" applyProtection="false">
      <alignment horizontal="center" vertical="bottom" textRotation="0" wrapText="false" indent="0" shrinkToFit="false"/>
      <protection locked="true" hidden="false"/>
    </xf>
    <xf numFmtId="171" fontId="6" fillId="0"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72" fontId="6" fillId="0"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73" fontId="11"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11" fillId="2" borderId="1" xfId="0" applyFont="true" applyBorder="true" applyAlignment="true" applyProtection="false">
      <alignment horizontal="center" vertical="top" textRotation="0" wrapText="fals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73" fontId="13" fillId="0" borderId="1"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73" fontId="12" fillId="2"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F9E5"/>
          <bgColor rgb="FF000000"/>
        </patternFill>
      </fill>
    </dxf>
    <dxf>
      <font>
        <name val="Arial"/>
        <charset val="1"/>
        <family val="0"/>
        <b val="1"/>
      </font>
      <fill>
        <patternFill>
          <bgColor rgb="FFBDD7EE"/>
        </patternFill>
      </fill>
    </dxf>
    <dxf>
      <fill>
        <patternFill>
          <bgColor rgb="FFC6EFCE"/>
        </patternFill>
      </fill>
    </dxf>
    <dxf>
      <fill>
        <patternFill>
          <bgColor rgb="FFFFEB9C"/>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5"/>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5" min="2"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n">
        <f aca="false">DATE(2027,2,6)</f>
        <v>46424</v>
      </c>
    </row>
    <row r="5" customFormat="false" ht="15" hidden="false" customHeight="false" outlineLevel="0" collapsed="false">
      <c r="A5" s="3" t="s">
        <v>3</v>
      </c>
      <c r="B5" s="5" t="n">
        <f aca="true">MAX(0,B4-TODAY())</f>
        <v>105</v>
      </c>
    </row>
    <row r="6" customFormat="false" ht="15" hidden="false" customHeight="false" outlineLevel="0" collapsed="false">
      <c r="A6" s="3" t="s">
        <v>4</v>
      </c>
      <c r="B6" s="5" t="n">
        <f aca="false">COUNT(Tracker!$A$2:$A$105)</f>
        <v>104</v>
      </c>
    </row>
    <row r="7" customFormat="false" ht="15" hidden="false" customHeight="false" outlineLevel="0" collapsed="false">
      <c r="A7" s="3" t="s">
        <v>5</v>
      </c>
      <c r="B7" s="5" t="n">
        <f aca="false">COUNTIF(Tracker!$H$2:$H$105,"Yes")</f>
        <v>0</v>
      </c>
    </row>
    <row r="8" customFormat="false" ht="15" hidden="false" customHeight="false" outlineLevel="0" collapsed="false">
      <c r="A8" s="3" t="s">
        <v>6</v>
      </c>
      <c r="B8" s="5" t="n">
        <f aca="false">COUNTIF(Tracker!$H$2:$H$105,"Partial")</f>
        <v>0</v>
      </c>
    </row>
    <row r="9" customFormat="false" ht="15" hidden="false" customHeight="false" outlineLevel="0" collapsed="false">
      <c r="A9" s="3" t="s">
        <v>7</v>
      </c>
      <c r="B9" s="6" t="n">
        <f aca="false">IF(B6=0,0,B7/B6)</f>
        <v>0</v>
      </c>
    </row>
    <row r="10" customFormat="false" ht="15" hidden="false" customHeight="false" outlineLevel="0" collapsed="false">
      <c r="A10" s="3" t="s">
        <v>8</v>
      </c>
      <c r="B10" s="5" t="n">
        <f aca="true">COUNTIFS(Tracker!$B$2:$B$105,"&lt;"&amp;TODAY(),Tracker!$H$2:$H$105,"")</f>
        <v>0</v>
      </c>
    </row>
    <row r="11" customFormat="false" ht="15" hidden="false" customHeight="false" outlineLevel="0" collapsed="false">
      <c r="A11" s="3" t="s">
        <v>9</v>
      </c>
      <c r="B11" s="7" t="n">
        <f aca="false">SUM(Tracker!$G$2:$G$105)</f>
        <v>660</v>
      </c>
    </row>
    <row r="12" customFormat="false" ht="15" hidden="false" customHeight="false" outlineLevel="0" collapsed="false">
      <c r="A12" s="3" t="s">
        <v>10</v>
      </c>
      <c r="B12" s="7" t="n">
        <f aca="false">SUM(Tracker!$J$2:$J$105)</f>
        <v>0</v>
      </c>
    </row>
    <row r="13" customFormat="false" ht="15" hidden="false" customHeight="false" outlineLevel="0" collapsed="false">
      <c r="A13" s="3" t="s">
        <v>11</v>
      </c>
      <c r="B13" s="6" t="n">
        <f aca="false">IF(B11=0,0,B12/B11)</f>
        <v>0</v>
      </c>
    </row>
    <row r="14" customFormat="false" ht="15" hidden="false" customHeight="false" outlineLevel="0" collapsed="false">
      <c r="A14" s="3" t="s">
        <v>12</v>
      </c>
      <c r="B14" s="8" t="n">
        <f aca="false">SUM(Tracker!$K$2:$K$105)</f>
        <v>0</v>
      </c>
    </row>
    <row r="15" customFormat="false" ht="15" hidden="false" customHeight="false" outlineLevel="0" collapsed="false">
      <c r="A15" s="3" t="s">
        <v>13</v>
      </c>
      <c r="B15" s="5" t="n">
        <f aca="false">COUNTIF(Tracker!$I$2:$I$105,"Yes")</f>
        <v>0</v>
      </c>
    </row>
    <row r="16" customFormat="false" ht="15" hidden="false" customHeight="false" outlineLevel="0" collapsed="false">
      <c r="A16" s="3" t="s">
        <v>14</v>
      </c>
      <c r="B16" s="5" t="n">
        <f aca="false">COUNTA(Mocks!B4:B40)</f>
        <v>0</v>
      </c>
    </row>
    <row r="17" customFormat="false" ht="15" hidden="false" customHeight="false" outlineLevel="0" collapsed="false">
      <c r="A17" s="3" t="s">
        <v>15</v>
      </c>
      <c r="B17" s="7" t="str">
        <f aca="false">IF(COUNT(Mocks!C4:C40)=0,"-",AVERAGE(Mocks!C4:C40))</f>
        <v>-</v>
      </c>
    </row>
    <row r="20" customFormat="false" ht="15" hidden="false" customHeight="false" outlineLevel="0" collapsed="false">
      <c r="A20" s="9" t="s">
        <v>16</v>
      </c>
    </row>
    <row r="21" customFormat="false" ht="30" hidden="false" customHeight="true" outlineLevel="0" collapsed="false">
      <c r="A21" s="10" t="s">
        <v>17</v>
      </c>
      <c r="B21" s="10" t="s">
        <v>18</v>
      </c>
      <c r="C21" s="10" t="s">
        <v>19</v>
      </c>
      <c r="D21" s="10" t="s">
        <v>20</v>
      </c>
      <c r="E21" s="10" t="s">
        <v>21</v>
      </c>
    </row>
    <row r="22" customFormat="false" ht="15" hidden="false" customHeight="false" outlineLevel="0" collapsed="false">
      <c r="A22" s="3" t="s">
        <v>22</v>
      </c>
      <c r="B22" s="11" t="n">
        <f aca="false">COUNTIF(Tracker!$E$2:$E$105,A22)</f>
        <v>8</v>
      </c>
      <c r="C22" s="11" t="n">
        <f aca="false">COUNTIFS(Tracker!$E$2:$E$105,A22,Tracker!$H$2:$H$105,"Yes")</f>
        <v>0</v>
      </c>
      <c r="D22" s="12" t="n">
        <f aca="false">IF(B22=0,0,C22/B22)</f>
        <v>0</v>
      </c>
      <c r="E22" s="13"/>
    </row>
    <row r="23" customFormat="false" ht="15" hidden="false" customHeight="false" outlineLevel="0" collapsed="false">
      <c r="A23" s="3" t="s">
        <v>23</v>
      </c>
      <c r="B23" s="11" t="n">
        <f aca="false">COUNTIF(Tracker!$E$2:$E$105,A23)</f>
        <v>5</v>
      </c>
      <c r="C23" s="11" t="n">
        <f aca="false">COUNTIFS(Tracker!$E$2:$E$105,A23,Tracker!$H$2:$H$105,"Yes")</f>
        <v>0</v>
      </c>
      <c r="D23" s="12" t="n">
        <f aca="false">IF(B23=0,0,C23/B23)</f>
        <v>0</v>
      </c>
      <c r="E23" s="13"/>
    </row>
    <row r="24" customFormat="false" ht="15" hidden="false" customHeight="false" outlineLevel="0" collapsed="false">
      <c r="A24" s="3" t="s">
        <v>24</v>
      </c>
      <c r="B24" s="11" t="n">
        <f aca="false">COUNTIF(Tracker!$E$2:$E$105,A24)</f>
        <v>5</v>
      </c>
      <c r="C24" s="11" t="n">
        <f aca="false">COUNTIFS(Tracker!$E$2:$E$105,A24,Tracker!$H$2:$H$105,"Yes")</f>
        <v>0</v>
      </c>
      <c r="D24" s="12" t="n">
        <f aca="false">IF(B24=0,0,C24/B24)</f>
        <v>0</v>
      </c>
      <c r="E24" s="13"/>
    </row>
    <row r="25" customFormat="false" ht="15" hidden="false" customHeight="false" outlineLevel="0" collapsed="false">
      <c r="A25" s="3" t="s">
        <v>25</v>
      </c>
      <c r="B25" s="11" t="n">
        <f aca="false">COUNTIF(Tracker!$E$2:$E$105,A25)</f>
        <v>4</v>
      </c>
      <c r="C25" s="11" t="n">
        <f aca="false">COUNTIFS(Tracker!$E$2:$E$105,A25,Tracker!$H$2:$H$105,"Yes")</f>
        <v>0</v>
      </c>
      <c r="D25" s="12" t="n">
        <f aca="false">IF(B25=0,0,C25/B25)</f>
        <v>0</v>
      </c>
      <c r="E25" s="13"/>
    </row>
    <row r="26" customFormat="false" ht="15" hidden="false" customHeight="false" outlineLevel="0" collapsed="false">
      <c r="A26" s="3" t="s">
        <v>26</v>
      </c>
      <c r="B26" s="11" t="n">
        <f aca="false">COUNTIF(Tracker!$E$2:$E$105,A26)</f>
        <v>3</v>
      </c>
      <c r="C26" s="11" t="n">
        <f aca="false">COUNTIFS(Tracker!$E$2:$E$105,A26,Tracker!$H$2:$H$105,"Yes")</f>
        <v>0</v>
      </c>
      <c r="D26" s="12" t="n">
        <f aca="false">IF(B26=0,0,C26/B26)</f>
        <v>0</v>
      </c>
      <c r="E26" s="13"/>
    </row>
    <row r="27" customFormat="false" ht="15" hidden="false" customHeight="false" outlineLevel="0" collapsed="false">
      <c r="A27" s="3" t="s">
        <v>27</v>
      </c>
      <c r="B27" s="11" t="n">
        <f aca="false">COUNTIF(Tracker!$E$2:$E$105,A27)</f>
        <v>5</v>
      </c>
      <c r="C27" s="11" t="n">
        <f aca="false">COUNTIFS(Tracker!$E$2:$E$105,A27,Tracker!$H$2:$H$105,"Yes")</f>
        <v>0</v>
      </c>
      <c r="D27" s="12" t="n">
        <f aca="false">IF(B27=0,0,C27/B27)</f>
        <v>0</v>
      </c>
      <c r="E27" s="13"/>
    </row>
    <row r="28" customFormat="false" ht="15" hidden="false" customHeight="false" outlineLevel="0" collapsed="false">
      <c r="A28" s="3" t="s">
        <v>28</v>
      </c>
      <c r="B28" s="11" t="n">
        <f aca="false">COUNTIF(Tracker!$E$2:$E$105,A28)</f>
        <v>4</v>
      </c>
      <c r="C28" s="11" t="n">
        <f aca="false">COUNTIFS(Tracker!$E$2:$E$105,A28,Tracker!$H$2:$H$105,"Yes")</f>
        <v>0</v>
      </c>
      <c r="D28" s="12" t="n">
        <f aca="false">IF(B28=0,0,C28/B28)</f>
        <v>0</v>
      </c>
      <c r="E28" s="13"/>
    </row>
    <row r="29" customFormat="false" ht="15" hidden="false" customHeight="false" outlineLevel="0" collapsed="false">
      <c r="A29" s="3" t="s">
        <v>29</v>
      </c>
      <c r="B29" s="11" t="n">
        <f aca="false">COUNTIF(Tracker!$E$2:$E$105,A29)</f>
        <v>4</v>
      </c>
      <c r="C29" s="11" t="n">
        <f aca="false">COUNTIFS(Tracker!$E$2:$E$105,A29,Tracker!$H$2:$H$105,"Yes")</f>
        <v>0</v>
      </c>
      <c r="D29" s="12" t="n">
        <f aca="false">IF(B29=0,0,C29/B29)</f>
        <v>0</v>
      </c>
      <c r="E29" s="13"/>
    </row>
    <row r="30" customFormat="false" ht="15" hidden="false" customHeight="false" outlineLevel="0" collapsed="false">
      <c r="A30" s="3" t="s">
        <v>30</v>
      </c>
      <c r="B30" s="11" t="n">
        <f aca="false">COUNTIF(Tracker!$E$2:$E$105,A30)</f>
        <v>4</v>
      </c>
      <c r="C30" s="11" t="n">
        <f aca="false">COUNTIFS(Tracker!$E$2:$E$105,A30,Tracker!$H$2:$H$105,"Yes")</f>
        <v>0</v>
      </c>
      <c r="D30" s="12" t="n">
        <f aca="false">IF(B30=0,0,C30/B30)</f>
        <v>0</v>
      </c>
      <c r="E30" s="13"/>
    </row>
    <row r="31" customFormat="false" ht="15" hidden="false" customHeight="false" outlineLevel="0" collapsed="false">
      <c r="A31" s="3" t="s">
        <v>31</v>
      </c>
      <c r="B31" s="11" t="n">
        <f aca="false">COUNTIF(Tracker!$E$2:$E$105,A31)</f>
        <v>2</v>
      </c>
      <c r="C31" s="11" t="n">
        <f aca="false">COUNTIFS(Tracker!$E$2:$E$105,A31,Tracker!$H$2:$H$105,"Yes")</f>
        <v>0</v>
      </c>
      <c r="D31" s="12" t="n">
        <f aca="false">IF(B31=0,0,C31/B31)</f>
        <v>0</v>
      </c>
      <c r="E31" s="13"/>
    </row>
    <row r="32" customFormat="false" ht="15" hidden="false" customHeight="false" outlineLevel="0" collapsed="false">
      <c r="A32" s="3" t="s">
        <v>32</v>
      </c>
      <c r="B32" s="11" t="n">
        <f aca="false">COUNTIF(Tracker!$E$2:$E$105,A32)</f>
        <v>2</v>
      </c>
      <c r="C32" s="11" t="n">
        <f aca="false">COUNTIFS(Tracker!$E$2:$E$105,A32,Tracker!$H$2:$H$105,"Yes")</f>
        <v>0</v>
      </c>
      <c r="D32" s="12" t="n">
        <f aca="false">IF(B32=0,0,C32/B32)</f>
        <v>0</v>
      </c>
      <c r="E32" s="13"/>
    </row>
    <row r="34" customFormat="false" ht="15" hidden="false" customHeight="false" outlineLevel="0" collapsed="false">
      <c r="A34" s="9" t="s">
        <v>33</v>
      </c>
    </row>
    <row r="35" customFormat="false" ht="15" hidden="false" customHeight="false" outlineLevel="0" collapsed="false">
      <c r="A35" s="14" t="s">
        <v>34</v>
      </c>
      <c r="B35" s="14" t="s">
        <v>35</v>
      </c>
      <c r="C35" s="14" t="s">
        <v>36</v>
      </c>
      <c r="D35" s="14" t="s">
        <v>19</v>
      </c>
      <c r="E35" s="14" t="s">
        <v>37</v>
      </c>
    </row>
    <row r="36" customFormat="false" ht="15" hidden="false" customHeight="false" outlineLevel="0" collapsed="false">
      <c r="A36" s="15" t="n">
        <f aca="false">DATE(2026,10,25)</f>
        <v>46320</v>
      </c>
      <c r="B36" s="11" t="n">
        <f aca="false">SUMIFS(Tracker!$G$2:$G$105,Tracker!$B$2:$B$105,"&gt;="&amp;$A36,Tracker!$B$2:$B$105,"&lt;="&amp;$A36+6)</f>
        <v>36.5</v>
      </c>
      <c r="C36" s="11" t="n">
        <f aca="false">SUMIFS(Tracker!$J$2:$J$105,Tracker!$B$2:$B$105,"&gt;="&amp;$A36,Tracker!$B$2:$B$105,"&lt;="&amp;$A36+6)</f>
        <v>0</v>
      </c>
      <c r="D36" s="11" t="n">
        <f aca="false">COUNTIFS(Tracker!$B$2:$B$105,"&gt;="&amp;$A36,Tracker!$B$2:$B$105,"&lt;="&amp;$A36+6,Tracker!$H$2:$H$105,"Yes")</f>
        <v>0</v>
      </c>
      <c r="E36" s="11" t="n">
        <f aca="false">SUMIFS(Tracker!$K$2:$K$105,Tracker!$B$2:$B$105,"&gt;="&amp;$A36,Tracker!$B$2:$B$105,"&lt;="&amp;$A36+6)</f>
        <v>0</v>
      </c>
    </row>
    <row r="37" customFormat="false" ht="15" hidden="false" customHeight="false" outlineLevel="0" collapsed="false">
      <c r="A37" s="15" t="n">
        <f aca="false">A36+7</f>
        <v>46327</v>
      </c>
      <c r="B37" s="11" t="n">
        <f aca="false">SUMIFS(Tracker!$G$2:$G$105,Tracker!$B$2:$B$105,"&gt;="&amp;$A37,Tracker!$B$2:$B$105,"&lt;="&amp;$A37+6)</f>
        <v>17</v>
      </c>
      <c r="C37" s="11" t="n">
        <f aca="false">SUMIFS(Tracker!$J$2:$J$105,Tracker!$B$2:$B$105,"&gt;="&amp;$A37,Tracker!$B$2:$B$105,"&lt;="&amp;$A37+6)</f>
        <v>0</v>
      </c>
      <c r="D37" s="11" t="n">
        <f aca="false">COUNTIFS(Tracker!$B$2:$B$105,"&gt;="&amp;$A37,Tracker!$B$2:$B$105,"&lt;="&amp;$A37+6,Tracker!$H$2:$H$105,"Yes")</f>
        <v>0</v>
      </c>
      <c r="E37" s="11" t="n">
        <f aca="false">SUMIFS(Tracker!$K$2:$K$105,Tracker!$B$2:$B$105,"&gt;="&amp;$A37,Tracker!$B$2:$B$105,"&lt;="&amp;$A37+6)</f>
        <v>0</v>
      </c>
    </row>
    <row r="38" customFormat="false" ht="15" hidden="false" customHeight="false" outlineLevel="0" collapsed="false">
      <c r="A38" s="15" t="n">
        <f aca="false">A37+7</f>
        <v>46334</v>
      </c>
      <c r="B38" s="11" t="n">
        <f aca="false">SUMIFS(Tracker!$G$2:$G$105,Tracker!$B$2:$B$105,"&gt;="&amp;$A38,Tracker!$B$2:$B$105,"&lt;="&amp;$A38+6)</f>
        <v>11</v>
      </c>
      <c r="C38" s="11" t="n">
        <f aca="false">SUMIFS(Tracker!$J$2:$J$105,Tracker!$B$2:$B$105,"&gt;="&amp;$A38,Tracker!$B$2:$B$105,"&lt;="&amp;$A38+6)</f>
        <v>0</v>
      </c>
      <c r="D38" s="11" t="n">
        <f aca="false">COUNTIFS(Tracker!$B$2:$B$105,"&gt;="&amp;$A38,Tracker!$B$2:$B$105,"&lt;="&amp;$A38+6,Tracker!$H$2:$H$105,"Yes")</f>
        <v>0</v>
      </c>
      <c r="E38" s="11" t="n">
        <f aca="false">SUMIFS(Tracker!$K$2:$K$105,Tracker!$B$2:$B$105,"&gt;="&amp;$A38,Tracker!$B$2:$B$105,"&lt;="&amp;$A38+6)</f>
        <v>0</v>
      </c>
    </row>
    <row r="39" customFormat="false" ht="15" hidden="false" customHeight="false" outlineLevel="0" collapsed="false">
      <c r="A39" s="15" t="n">
        <f aca="false">A38+7</f>
        <v>46341</v>
      </c>
      <c r="B39" s="11" t="n">
        <f aca="false">SUMIFS(Tracker!$G$2:$G$105,Tracker!$B$2:$B$105,"&gt;="&amp;$A39,Tracker!$B$2:$B$105,"&lt;="&amp;$A39+6)</f>
        <v>41.5</v>
      </c>
      <c r="C39" s="11" t="n">
        <f aca="false">SUMIFS(Tracker!$J$2:$J$105,Tracker!$B$2:$B$105,"&gt;="&amp;$A39,Tracker!$B$2:$B$105,"&lt;="&amp;$A39+6)</f>
        <v>0</v>
      </c>
      <c r="D39" s="11" t="n">
        <f aca="false">COUNTIFS(Tracker!$B$2:$B$105,"&gt;="&amp;$A39,Tracker!$B$2:$B$105,"&lt;="&amp;$A39+6,Tracker!$H$2:$H$105,"Yes")</f>
        <v>0</v>
      </c>
      <c r="E39" s="11" t="n">
        <f aca="false">SUMIFS(Tracker!$K$2:$K$105,Tracker!$B$2:$B$105,"&gt;="&amp;$A39,Tracker!$B$2:$B$105,"&lt;="&amp;$A39+6)</f>
        <v>0</v>
      </c>
    </row>
    <row r="40" customFormat="false" ht="15" hidden="false" customHeight="false" outlineLevel="0" collapsed="false">
      <c r="A40" s="15" t="n">
        <f aca="false">A39+7</f>
        <v>46348</v>
      </c>
      <c r="B40" s="11" t="n">
        <f aca="false">SUMIFS(Tracker!$G$2:$G$105,Tracker!$B$2:$B$105,"&gt;="&amp;$A40,Tracker!$B$2:$B$105,"&lt;="&amp;$A40+6)</f>
        <v>53</v>
      </c>
      <c r="C40" s="11" t="n">
        <f aca="false">SUMIFS(Tracker!$J$2:$J$105,Tracker!$B$2:$B$105,"&gt;="&amp;$A40,Tracker!$B$2:$B$105,"&lt;="&amp;$A40+6)</f>
        <v>0</v>
      </c>
      <c r="D40" s="11" t="n">
        <f aca="false">COUNTIFS(Tracker!$B$2:$B$105,"&gt;="&amp;$A40,Tracker!$B$2:$B$105,"&lt;="&amp;$A40+6,Tracker!$H$2:$H$105,"Yes")</f>
        <v>0</v>
      </c>
      <c r="E40" s="11" t="n">
        <f aca="false">SUMIFS(Tracker!$K$2:$K$105,Tracker!$B$2:$B$105,"&gt;="&amp;$A40,Tracker!$B$2:$B$105,"&lt;="&amp;$A40+6)</f>
        <v>0</v>
      </c>
    </row>
    <row r="41" customFormat="false" ht="15" hidden="false" customHeight="false" outlineLevel="0" collapsed="false">
      <c r="A41" s="15" t="n">
        <f aca="false">A40+7</f>
        <v>46355</v>
      </c>
      <c r="B41" s="11" t="n">
        <f aca="false">SUMIFS(Tracker!$G$2:$G$105,Tracker!$B$2:$B$105,"&gt;="&amp;$A41,Tracker!$B$2:$B$105,"&lt;="&amp;$A41+6)</f>
        <v>53</v>
      </c>
      <c r="C41" s="11" t="n">
        <f aca="false">SUMIFS(Tracker!$J$2:$J$105,Tracker!$B$2:$B$105,"&gt;="&amp;$A41,Tracker!$B$2:$B$105,"&lt;="&amp;$A41+6)</f>
        <v>0</v>
      </c>
      <c r="D41" s="11" t="n">
        <f aca="false">COUNTIFS(Tracker!$B$2:$B$105,"&gt;="&amp;$A41,Tracker!$B$2:$B$105,"&lt;="&amp;$A41+6,Tracker!$H$2:$H$105,"Yes")</f>
        <v>0</v>
      </c>
      <c r="E41" s="11" t="n">
        <f aca="false">SUMIFS(Tracker!$K$2:$K$105,Tracker!$B$2:$B$105,"&gt;="&amp;$A41,Tracker!$B$2:$B$105,"&lt;="&amp;$A41+6)</f>
        <v>0</v>
      </c>
    </row>
    <row r="42" customFormat="false" ht="15" hidden="false" customHeight="false" outlineLevel="0" collapsed="false">
      <c r="A42" s="15" t="n">
        <f aca="false">A41+7</f>
        <v>46362</v>
      </c>
      <c r="B42" s="11" t="n">
        <f aca="false">SUMIFS(Tracker!$G$2:$G$105,Tracker!$B$2:$B$105,"&gt;="&amp;$A42,Tracker!$B$2:$B$105,"&lt;="&amp;$A42+6)</f>
        <v>53</v>
      </c>
      <c r="C42" s="11" t="n">
        <f aca="false">SUMIFS(Tracker!$J$2:$J$105,Tracker!$B$2:$B$105,"&gt;="&amp;$A42,Tracker!$B$2:$B$105,"&lt;="&amp;$A42+6)</f>
        <v>0</v>
      </c>
      <c r="D42" s="11" t="n">
        <f aca="false">COUNTIFS(Tracker!$B$2:$B$105,"&gt;="&amp;$A42,Tracker!$B$2:$B$105,"&lt;="&amp;$A42+6,Tracker!$H$2:$H$105,"Yes")</f>
        <v>0</v>
      </c>
      <c r="E42" s="11" t="n">
        <f aca="false">SUMIFS(Tracker!$K$2:$K$105,Tracker!$B$2:$B$105,"&gt;="&amp;$A42,Tracker!$B$2:$B$105,"&lt;="&amp;$A42+6)</f>
        <v>0</v>
      </c>
    </row>
    <row r="43" customFormat="false" ht="15" hidden="false" customHeight="false" outlineLevel="0" collapsed="false">
      <c r="A43" s="15" t="n">
        <f aca="false">A42+7</f>
        <v>46369</v>
      </c>
      <c r="B43" s="11" t="n">
        <f aca="false">SUMIFS(Tracker!$G$2:$G$105,Tracker!$B$2:$B$105,"&gt;="&amp;$A43,Tracker!$B$2:$B$105,"&lt;="&amp;$A43+6)</f>
        <v>53</v>
      </c>
      <c r="C43" s="11" t="n">
        <f aca="false">SUMIFS(Tracker!$J$2:$J$105,Tracker!$B$2:$B$105,"&gt;="&amp;$A43,Tracker!$B$2:$B$105,"&lt;="&amp;$A43+6)</f>
        <v>0</v>
      </c>
      <c r="D43" s="11" t="n">
        <f aca="false">COUNTIFS(Tracker!$B$2:$B$105,"&gt;="&amp;$A43,Tracker!$B$2:$B$105,"&lt;="&amp;$A43+6,Tracker!$H$2:$H$105,"Yes")</f>
        <v>0</v>
      </c>
      <c r="E43" s="11" t="n">
        <f aca="false">SUMIFS(Tracker!$K$2:$K$105,Tracker!$B$2:$B$105,"&gt;="&amp;$A43,Tracker!$B$2:$B$105,"&lt;="&amp;$A43+6)</f>
        <v>0</v>
      </c>
    </row>
    <row r="44" customFormat="false" ht="15" hidden="false" customHeight="false" outlineLevel="0" collapsed="false">
      <c r="A44" s="15" t="n">
        <f aca="false">A43+7</f>
        <v>46376</v>
      </c>
      <c r="B44" s="11" t="n">
        <f aca="false">SUMIFS(Tracker!$G$2:$G$105,Tracker!$B$2:$B$105,"&gt;="&amp;$A44,Tracker!$B$2:$B$105,"&lt;="&amp;$A44+6)</f>
        <v>53</v>
      </c>
      <c r="C44" s="11" t="n">
        <f aca="false">SUMIFS(Tracker!$J$2:$J$105,Tracker!$B$2:$B$105,"&gt;="&amp;$A44,Tracker!$B$2:$B$105,"&lt;="&amp;$A44+6)</f>
        <v>0</v>
      </c>
      <c r="D44" s="11" t="n">
        <f aca="false">COUNTIFS(Tracker!$B$2:$B$105,"&gt;="&amp;$A44,Tracker!$B$2:$B$105,"&lt;="&amp;$A44+6,Tracker!$H$2:$H$105,"Yes")</f>
        <v>0</v>
      </c>
      <c r="E44" s="11" t="n">
        <f aca="false">SUMIFS(Tracker!$K$2:$K$105,Tracker!$B$2:$B$105,"&gt;="&amp;$A44,Tracker!$B$2:$B$105,"&lt;="&amp;$A44+6)</f>
        <v>0</v>
      </c>
    </row>
    <row r="45" customFormat="false" ht="15" hidden="false" customHeight="false" outlineLevel="0" collapsed="false">
      <c r="A45" s="15" t="n">
        <f aca="false">A44+7</f>
        <v>46383</v>
      </c>
      <c r="B45" s="11" t="n">
        <f aca="false">SUMIFS(Tracker!$G$2:$G$105,Tracker!$B$2:$B$105,"&gt;="&amp;$A45,Tracker!$B$2:$B$105,"&lt;="&amp;$A45+6)</f>
        <v>54</v>
      </c>
      <c r="C45" s="11" t="n">
        <f aca="false">SUMIFS(Tracker!$J$2:$J$105,Tracker!$B$2:$B$105,"&gt;="&amp;$A45,Tracker!$B$2:$B$105,"&lt;="&amp;$A45+6)</f>
        <v>0</v>
      </c>
      <c r="D45" s="11" t="n">
        <f aca="false">COUNTIFS(Tracker!$B$2:$B$105,"&gt;="&amp;$A45,Tracker!$B$2:$B$105,"&lt;="&amp;$A45+6,Tracker!$H$2:$H$105,"Yes")</f>
        <v>0</v>
      </c>
      <c r="E45" s="11" t="n">
        <f aca="false">SUMIFS(Tracker!$K$2:$K$105,Tracker!$B$2:$B$105,"&gt;="&amp;$A45,Tracker!$B$2:$B$105,"&lt;="&amp;$A45+6)</f>
        <v>0</v>
      </c>
    </row>
    <row r="46" customFormat="false" ht="15" hidden="false" customHeight="false" outlineLevel="0" collapsed="false">
      <c r="A46" s="15" t="n">
        <f aca="false">A45+7</f>
        <v>46390</v>
      </c>
      <c r="B46" s="11" t="n">
        <f aca="false">SUMIFS(Tracker!$G$2:$G$105,Tracker!$B$2:$B$105,"&gt;="&amp;$A46,Tracker!$B$2:$B$105,"&lt;="&amp;$A46+6)</f>
        <v>54</v>
      </c>
      <c r="C46" s="11" t="n">
        <f aca="false">SUMIFS(Tracker!$J$2:$J$105,Tracker!$B$2:$B$105,"&gt;="&amp;$A46,Tracker!$B$2:$B$105,"&lt;="&amp;$A46+6)</f>
        <v>0</v>
      </c>
      <c r="D46" s="11" t="n">
        <f aca="false">COUNTIFS(Tracker!$B$2:$B$105,"&gt;="&amp;$A46,Tracker!$B$2:$B$105,"&lt;="&amp;$A46+6,Tracker!$H$2:$H$105,"Yes")</f>
        <v>0</v>
      </c>
      <c r="E46" s="11" t="n">
        <f aca="false">SUMIFS(Tracker!$K$2:$K$105,Tracker!$B$2:$B$105,"&gt;="&amp;$A46,Tracker!$B$2:$B$105,"&lt;="&amp;$A46+6)</f>
        <v>0</v>
      </c>
    </row>
    <row r="47" customFormat="false" ht="15" hidden="false" customHeight="false" outlineLevel="0" collapsed="false">
      <c r="A47" s="15" t="n">
        <f aca="false">A46+7</f>
        <v>46397</v>
      </c>
      <c r="B47" s="11" t="n">
        <f aca="false">SUMIFS(Tracker!$G$2:$G$105,Tracker!$B$2:$B$105,"&gt;="&amp;$A47,Tracker!$B$2:$B$105,"&lt;="&amp;$A47+6)</f>
        <v>54</v>
      </c>
      <c r="C47" s="11" t="n">
        <f aca="false">SUMIFS(Tracker!$J$2:$J$105,Tracker!$B$2:$B$105,"&gt;="&amp;$A47,Tracker!$B$2:$B$105,"&lt;="&amp;$A47+6)</f>
        <v>0</v>
      </c>
      <c r="D47" s="11" t="n">
        <f aca="false">COUNTIFS(Tracker!$B$2:$B$105,"&gt;="&amp;$A47,Tracker!$B$2:$B$105,"&lt;="&amp;$A47+6,Tracker!$H$2:$H$105,"Yes")</f>
        <v>0</v>
      </c>
      <c r="E47" s="11" t="n">
        <f aca="false">SUMIFS(Tracker!$K$2:$K$105,Tracker!$B$2:$B$105,"&gt;="&amp;$A47,Tracker!$B$2:$B$105,"&lt;="&amp;$A47+6)</f>
        <v>0</v>
      </c>
    </row>
    <row r="48" customFormat="false" ht="15" hidden="false" customHeight="false" outlineLevel="0" collapsed="false">
      <c r="A48" s="15" t="n">
        <f aca="false">A47+7</f>
        <v>46404</v>
      </c>
      <c r="B48" s="11" t="n">
        <f aca="false">SUMIFS(Tracker!$G$2:$G$105,Tracker!$B$2:$B$105,"&gt;="&amp;$A48,Tracker!$B$2:$B$105,"&lt;="&amp;$A48+6)</f>
        <v>53</v>
      </c>
      <c r="C48" s="11" t="n">
        <f aca="false">SUMIFS(Tracker!$J$2:$J$105,Tracker!$B$2:$B$105,"&gt;="&amp;$A48,Tracker!$B$2:$B$105,"&lt;="&amp;$A48+6)</f>
        <v>0</v>
      </c>
      <c r="D48" s="11" t="n">
        <f aca="false">COUNTIFS(Tracker!$B$2:$B$105,"&gt;="&amp;$A48,Tracker!$B$2:$B$105,"&lt;="&amp;$A48+6,Tracker!$H$2:$H$105,"Yes")</f>
        <v>0</v>
      </c>
      <c r="E48" s="11" t="n">
        <f aca="false">SUMIFS(Tracker!$K$2:$K$105,Tracker!$B$2:$B$105,"&gt;="&amp;$A48,Tracker!$B$2:$B$105,"&lt;="&amp;$A48+6)</f>
        <v>0</v>
      </c>
    </row>
    <row r="49" customFormat="false" ht="15" hidden="false" customHeight="false" outlineLevel="0" collapsed="false">
      <c r="A49" s="15" t="n">
        <f aca="false">A48+7</f>
        <v>46411</v>
      </c>
      <c r="B49" s="11" t="n">
        <f aca="false">SUMIFS(Tracker!$G$2:$G$105,Tracker!$B$2:$B$105,"&gt;="&amp;$A49,Tracker!$B$2:$B$105,"&lt;="&amp;$A49+6)</f>
        <v>53</v>
      </c>
      <c r="C49" s="11" t="n">
        <f aca="false">SUMIFS(Tracker!$J$2:$J$105,Tracker!$B$2:$B$105,"&gt;="&amp;$A49,Tracker!$B$2:$B$105,"&lt;="&amp;$A49+6)</f>
        <v>0</v>
      </c>
      <c r="D49" s="11" t="n">
        <f aca="false">COUNTIFS(Tracker!$B$2:$B$105,"&gt;="&amp;$A49,Tracker!$B$2:$B$105,"&lt;="&amp;$A49+6,Tracker!$H$2:$H$105,"Yes")</f>
        <v>0</v>
      </c>
      <c r="E49" s="11" t="n">
        <f aca="false">SUMIFS(Tracker!$K$2:$K$105,Tracker!$B$2:$B$105,"&gt;="&amp;$A49,Tracker!$B$2:$B$105,"&lt;="&amp;$A49+6)</f>
        <v>0</v>
      </c>
    </row>
    <row r="50" customFormat="false" ht="15" hidden="false" customHeight="false" outlineLevel="0" collapsed="false">
      <c r="A50" s="15" t="n">
        <f aca="false">A49+7</f>
        <v>46418</v>
      </c>
      <c r="B50" s="11" t="n">
        <f aca="false">SUMIFS(Tracker!$G$2:$G$105,Tracker!$B$2:$B$105,"&gt;="&amp;$A50,Tracker!$B$2:$B$105,"&lt;="&amp;$A50+6)</f>
        <v>21</v>
      </c>
      <c r="C50" s="11" t="n">
        <f aca="false">SUMIFS(Tracker!$J$2:$J$105,Tracker!$B$2:$B$105,"&gt;="&amp;$A50,Tracker!$B$2:$B$105,"&lt;="&amp;$A50+6)</f>
        <v>0</v>
      </c>
      <c r="D50" s="11" t="n">
        <f aca="false">COUNTIFS(Tracker!$B$2:$B$105,"&gt;="&amp;$A50,Tracker!$B$2:$B$105,"&lt;="&amp;$A50+6,Tracker!$H$2:$H$105,"Yes")</f>
        <v>0</v>
      </c>
      <c r="E50" s="11" t="n">
        <f aca="false">SUMIFS(Tracker!$K$2:$K$105,Tracker!$B$2:$B$105,"&gt;="&amp;$A50,Tracker!$B$2:$B$105,"&lt;="&amp;$A50+6)</f>
        <v>0</v>
      </c>
    </row>
    <row r="52" customFormat="false" ht="15" hidden="false" customHeight="false" outlineLevel="0" collapsed="false">
      <c r="A52" s="2"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9"/>
    <col collapsed="false" customWidth="true" hidden="false" outlineLevel="0" max="4" min="4" style="0" width="17"/>
    <col collapsed="false" customWidth="true" hidden="false" outlineLevel="0" max="5" min="5" style="0" width="24"/>
    <col collapsed="false" customWidth="true" hidden="false" outlineLevel="0" max="6" min="6" style="0" width="62"/>
    <col collapsed="false" customWidth="true" hidden="false" outlineLevel="0" max="7" min="7" style="0" width="9"/>
    <col collapsed="false" customWidth="true" hidden="false" outlineLevel="0" max="8" min="8" style="0" width="10"/>
    <col collapsed="false" customWidth="true" hidden="false" outlineLevel="0" max="9" min="9" style="0" width="11"/>
    <col collapsed="false" customWidth="true" hidden="false" outlineLevel="0" max="11" min="10" style="0" width="9"/>
    <col collapsed="false" customWidth="true" hidden="false" outlineLevel="0" max="12" min="12" style="0" width="28"/>
  </cols>
  <sheetData>
    <row r="1" customFormat="false" ht="31.5" hidden="false" customHeight="true" outlineLevel="0" collapsed="false">
      <c r="A1" s="16" t="s">
        <v>39</v>
      </c>
      <c r="B1" s="16" t="s">
        <v>40</v>
      </c>
      <c r="C1" s="16" t="s">
        <v>41</v>
      </c>
      <c r="D1" s="16" t="s">
        <v>42</v>
      </c>
      <c r="E1" s="16" t="s">
        <v>43</v>
      </c>
      <c r="F1" s="16" t="s">
        <v>44</v>
      </c>
      <c r="G1" s="16" t="s">
        <v>45</v>
      </c>
      <c r="H1" s="16" t="s">
        <v>46</v>
      </c>
      <c r="I1" s="16" t="s">
        <v>47</v>
      </c>
      <c r="J1" s="16" t="s">
        <v>48</v>
      </c>
      <c r="K1" s="16" t="s">
        <v>49</v>
      </c>
      <c r="L1" s="16" t="s">
        <v>50</v>
      </c>
    </row>
    <row r="2" customFormat="false" ht="30.75" hidden="false" customHeight="true" outlineLevel="0" collapsed="false">
      <c r="A2" s="17" t="n">
        <v>1</v>
      </c>
      <c r="B2" s="18" t="n">
        <f aca="false">DATE(2026,10,25)</f>
        <v>46320</v>
      </c>
      <c r="C2" s="17" t="str">
        <f aca="false">TEXT(B2,"ddd")</f>
        <v>Sun</v>
      </c>
      <c r="D2" s="19" t="s">
        <v>51</v>
      </c>
      <c r="E2" s="19" t="s">
        <v>22</v>
      </c>
      <c r="F2" s="19" t="s">
        <v>52</v>
      </c>
      <c r="G2" s="20" t="n">
        <v>5</v>
      </c>
      <c r="H2" s="21"/>
      <c r="I2" s="21"/>
      <c r="J2" s="21"/>
      <c r="K2" s="21"/>
      <c r="L2" s="22"/>
    </row>
    <row r="3" customFormat="false" ht="18" hidden="false" customHeight="true" outlineLevel="0" collapsed="false">
      <c r="A3" s="17" t="n">
        <v>2</v>
      </c>
      <c r="B3" s="18" t="n">
        <f aca="false">B2+1</f>
        <v>46321</v>
      </c>
      <c r="C3" s="17" t="str">
        <f aca="false">TEXT(B3,"ddd")</f>
        <v>Mon</v>
      </c>
      <c r="D3" s="19" t="s">
        <v>51</v>
      </c>
      <c r="E3" s="19" t="s">
        <v>22</v>
      </c>
      <c r="F3" s="19" t="s">
        <v>53</v>
      </c>
      <c r="G3" s="20" t="n">
        <v>4.5</v>
      </c>
      <c r="H3" s="21"/>
      <c r="I3" s="21"/>
      <c r="J3" s="21"/>
      <c r="K3" s="21"/>
      <c r="L3" s="22"/>
    </row>
    <row r="4" customFormat="false" ht="18" hidden="false" customHeight="true" outlineLevel="0" collapsed="false">
      <c r="A4" s="17" t="n">
        <v>3</v>
      </c>
      <c r="B4" s="18" t="n">
        <f aca="false">B3+1</f>
        <v>46322</v>
      </c>
      <c r="C4" s="17" t="str">
        <f aca="false">TEXT(B4,"ddd")</f>
        <v>Tue</v>
      </c>
      <c r="D4" s="19" t="s">
        <v>51</v>
      </c>
      <c r="E4" s="19" t="s">
        <v>22</v>
      </c>
      <c r="F4" s="19" t="s">
        <v>54</v>
      </c>
      <c r="G4" s="20" t="n">
        <v>4.5</v>
      </c>
      <c r="H4" s="21"/>
      <c r="I4" s="21"/>
      <c r="J4" s="21"/>
      <c r="K4" s="21"/>
      <c r="L4" s="22"/>
    </row>
    <row r="5" customFormat="false" ht="18" hidden="false" customHeight="true" outlineLevel="0" collapsed="false">
      <c r="A5" s="17" t="n">
        <v>4</v>
      </c>
      <c r="B5" s="18" t="n">
        <f aca="false">B4+1</f>
        <v>46323</v>
      </c>
      <c r="C5" s="17" t="str">
        <f aca="false">TEXT(B5,"ddd")</f>
        <v>Wed</v>
      </c>
      <c r="D5" s="19" t="s">
        <v>51</v>
      </c>
      <c r="E5" s="19" t="s">
        <v>22</v>
      </c>
      <c r="F5" s="19" t="s">
        <v>55</v>
      </c>
      <c r="G5" s="20" t="n">
        <v>4.5</v>
      </c>
      <c r="H5" s="21"/>
      <c r="I5" s="21"/>
      <c r="J5" s="21"/>
      <c r="K5" s="21"/>
      <c r="L5" s="22"/>
    </row>
    <row r="6" customFormat="false" ht="18" hidden="false" customHeight="true" outlineLevel="0" collapsed="false">
      <c r="A6" s="17" t="n">
        <v>5</v>
      </c>
      <c r="B6" s="18" t="n">
        <f aca="false">B5+1</f>
        <v>46324</v>
      </c>
      <c r="C6" s="17" t="str">
        <f aca="false">TEXT(B6,"ddd")</f>
        <v>Thu</v>
      </c>
      <c r="D6" s="19" t="s">
        <v>51</v>
      </c>
      <c r="E6" s="19" t="s">
        <v>22</v>
      </c>
      <c r="F6" s="19" t="s">
        <v>56</v>
      </c>
      <c r="G6" s="20" t="n">
        <v>4.5</v>
      </c>
      <c r="H6" s="21"/>
      <c r="I6" s="21"/>
      <c r="J6" s="21"/>
      <c r="K6" s="21"/>
      <c r="L6" s="22"/>
    </row>
    <row r="7" customFormat="false" ht="18" hidden="false" customHeight="true" outlineLevel="0" collapsed="false">
      <c r="A7" s="17" t="n">
        <v>6</v>
      </c>
      <c r="B7" s="18" t="n">
        <f aca="false">B6+1</f>
        <v>46325</v>
      </c>
      <c r="C7" s="17" t="str">
        <f aca="false">TEXT(B7,"ddd")</f>
        <v>Fri</v>
      </c>
      <c r="D7" s="19" t="s">
        <v>51</v>
      </c>
      <c r="E7" s="19" t="s">
        <v>22</v>
      </c>
      <c r="F7" s="19" t="s">
        <v>57</v>
      </c>
      <c r="G7" s="20" t="n">
        <v>4.5</v>
      </c>
      <c r="H7" s="21"/>
      <c r="I7" s="21"/>
      <c r="J7" s="21"/>
      <c r="K7" s="21"/>
      <c r="L7" s="22"/>
    </row>
    <row r="8" customFormat="false" ht="18" hidden="false" customHeight="true" outlineLevel="0" collapsed="false">
      <c r="A8" s="17" t="n">
        <v>7</v>
      </c>
      <c r="B8" s="18" t="n">
        <f aca="false">B7+1</f>
        <v>46326</v>
      </c>
      <c r="C8" s="17" t="str">
        <f aca="false">TEXT(B8,"ddd")</f>
        <v>Sat</v>
      </c>
      <c r="D8" s="19" t="s">
        <v>51</v>
      </c>
      <c r="E8" s="19" t="s">
        <v>22</v>
      </c>
      <c r="F8" s="19" t="s">
        <v>58</v>
      </c>
      <c r="G8" s="20" t="n">
        <v>9</v>
      </c>
      <c r="H8" s="21"/>
      <c r="I8" s="21"/>
      <c r="J8" s="21"/>
      <c r="K8" s="21"/>
      <c r="L8" s="22"/>
    </row>
    <row r="9" customFormat="false" ht="30.75" hidden="false" customHeight="true" outlineLevel="0" collapsed="false">
      <c r="A9" s="17" t="n">
        <v>8</v>
      </c>
      <c r="B9" s="18" t="n">
        <f aca="false">B8+1</f>
        <v>46327</v>
      </c>
      <c r="C9" s="17" t="str">
        <f aca="false">TEXT(B9,"ddd")</f>
        <v>Sun</v>
      </c>
      <c r="D9" s="19" t="s">
        <v>51</v>
      </c>
      <c r="E9" s="19" t="s">
        <v>22</v>
      </c>
      <c r="F9" s="19" t="s">
        <v>59</v>
      </c>
      <c r="G9" s="20" t="n">
        <v>5</v>
      </c>
      <c r="H9" s="21"/>
      <c r="I9" s="21"/>
      <c r="J9" s="21"/>
      <c r="K9" s="21"/>
      <c r="L9" s="22"/>
    </row>
    <row r="10" customFormat="false" ht="44.25" hidden="false" customHeight="true" outlineLevel="0" collapsed="false">
      <c r="A10" s="17" t="n">
        <v>9</v>
      </c>
      <c r="B10" s="18" t="n">
        <f aca="false">B9+1</f>
        <v>46328</v>
      </c>
      <c r="C10" s="17" t="str">
        <f aca="false">TEXT(B10,"ddd")</f>
        <v>Mon</v>
      </c>
      <c r="D10" s="19" t="s">
        <v>60</v>
      </c>
      <c r="E10" s="19" t="s">
        <v>61</v>
      </c>
      <c r="F10" s="19" t="s">
        <v>62</v>
      </c>
      <c r="G10" s="20" t="n">
        <v>2</v>
      </c>
      <c r="H10" s="21"/>
      <c r="I10" s="21"/>
      <c r="J10" s="21"/>
      <c r="K10" s="21"/>
      <c r="L10" s="22"/>
    </row>
    <row r="11" customFormat="false" ht="44.25" hidden="false" customHeight="true" outlineLevel="0" collapsed="false">
      <c r="A11" s="17" t="n">
        <v>10</v>
      </c>
      <c r="B11" s="18" t="n">
        <f aca="false">B10+1</f>
        <v>46329</v>
      </c>
      <c r="C11" s="17" t="str">
        <f aca="false">TEXT(B11,"ddd")</f>
        <v>Tue</v>
      </c>
      <c r="D11" s="19" t="s">
        <v>60</v>
      </c>
      <c r="E11" s="19" t="s">
        <v>61</v>
      </c>
      <c r="F11" s="19" t="s">
        <v>62</v>
      </c>
      <c r="G11" s="20" t="n">
        <v>2</v>
      </c>
      <c r="H11" s="21"/>
      <c r="I11" s="21"/>
      <c r="J11" s="21"/>
      <c r="K11" s="21"/>
      <c r="L11" s="22"/>
    </row>
    <row r="12" customFormat="false" ht="44.25" hidden="false" customHeight="true" outlineLevel="0" collapsed="false">
      <c r="A12" s="17" t="n">
        <v>11</v>
      </c>
      <c r="B12" s="18" t="n">
        <f aca="false">B11+1</f>
        <v>46330</v>
      </c>
      <c r="C12" s="17" t="str">
        <f aca="false">TEXT(B12,"ddd")</f>
        <v>Wed</v>
      </c>
      <c r="D12" s="19" t="s">
        <v>60</v>
      </c>
      <c r="E12" s="19" t="s">
        <v>61</v>
      </c>
      <c r="F12" s="19" t="s">
        <v>62</v>
      </c>
      <c r="G12" s="20" t="n">
        <v>2</v>
      </c>
      <c r="H12" s="21"/>
      <c r="I12" s="21"/>
      <c r="J12" s="21"/>
      <c r="K12" s="21"/>
      <c r="L12" s="22"/>
    </row>
    <row r="13" customFormat="false" ht="44.25" hidden="false" customHeight="true" outlineLevel="0" collapsed="false">
      <c r="A13" s="17" t="n">
        <v>12</v>
      </c>
      <c r="B13" s="18" t="n">
        <f aca="false">B12+1</f>
        <v>46331</v>
      </c>
      <c r="C13" s="17" t="str">
        <f aca="false">TEXT(B13,"ddd")</f>
        <v>Thu</v>
      </c>
      <c r="D13" s="19" t="s">
        <v>60</v>
      </c>
      <c r="E13" s="19" t="s">
        <v>61</v>
      </c>
      <c r="F13" s="19" t="s">
        <v>62</v>
      </c>
      <c r="G13" s="20" t="n">
        <v>2</v>
      </c>
      <c r="H13" s="21"/>
      <c r="I13" s="21"/>
      <c r="J13" s="21"/>
      <c r="K13" s="21"/>
      <c r="L13" s="22"/>
    </row>
    <row r="14" customFormat="false" ht="44.25" hidden="false" customHeight="true" outlineLevel="0" collapsed="false">
      <c r="A14" s="17" t="n">
        <v>13</v>
      </c>
      <c r="B14" s="18" t="n">
        <f aca="false">B13+1</f>
        <v>46332</v>
      </c>
      <c r="C14" s="17" t="str">
        <f aca="false">TEXT(B14,"ddd")</f>
        <v>Fri</v>
      </c>
      <c r="D14" s="19" t="s">
        <v>60</v>
      </c>
      <c r="E14" s="19" t="s">
        <v>61</v>
      </c>
      <c r="F14" s="19" t="s">
        <v>62</v>
      </c>
      <c r="G14" s="20" t="n">
        <v>2</v>
      </c>
      <c r="H14" s="21"/>
      <c r="I14" s="21"/>
      <c r="J14" s="21"/>
      <c r="K14" s="21"/>
      <c r="L14" s="22"/>
    </row>
    <row r="15" customFormat="false" ht="44.25" hidden="false" customHeight="true" outlineLevel="0" collapsed="false">
      <c r="A15" s="17" t="n">
        <v>14</v>
      </c>
      <c r="B15" s="18" t="n">
        <f aca="false">B14+1</f>
        <v>46333</v>
      </c>
      <c r="C15" s="17" t="str">
        <f aca="false">TEXT(B15,"ddd")</f>
        <v>Sat</v>
      </c>
      <c r="D15" s="19" t="s">
        <v>60</v>
      </c>
      <c r="E15" s="19" t="s">
        <v>61</v>
      </c>
      <c r="F15" s="19" t="s">
        <v>62</v>
      </c>
      <c r="G15" s="20" t="n">
        <v>2</v>
      </c>
      <c r="H15" s="21"/>
      <c r="I15" s="21"/>
      <c r="J15" s="21"/>
      <c r="K15" s="21"/>
      <c r="L15" s="22"/>
    </row>
    <row r="16" customFormat="false" ht="44.25" hidden="false" customHeight="true" outlineLevel="0" collapsed="false">
      <c r="A16" s="17" t="n">
        <v>15</v>
      </c>
      <c r="B16" s="18" t="n">
        <f aca="false">B15+1</f>
        <v>46334</v>
      </c>
      <c r="C16" s="17" t="str">
        <f aca="false">TEXT(B16,"ddd")</f>
        <v>Sun</v>
      </c>
      <c r="D16" s="19" t="s">
        <v>60</v>
      </c>
      <c r="E16" s="19" t="s">
        <v>61</v>
      </c>
      <c r="F16" s="19" t="s">
        <v>62</v>
      </c>
      <c r="G16" s="20" t="n">
        <v>2</v>
      </c>
      <c r="H16" s="21"/>
      <c r="I16" s="21"/>
      <c r="J16" s="21"/>
      <c r="K16" s="21"/>
      <c r="L16" s="22"/>
    </row>
    <row r="17" customFormat="false" ht="30.75" hidden="false" customHeight="true" outlineLevel="0" collapsed="false">
      <c r="A17" s="17" t="n">
        <v>16</v>
      </c>
      <c r="B17" s="18" t="n">
        <f aca="false">B16+1</f>
        <v>46335</v>
      </c>
      <c r="C17" s="17" t="str">
        <f aca="false">TEXT(B17,"ddd")</f>
        <v>Mon</v>
      </c>
      <c r="D17" s="19" t="s">
        <v>60</v>
      </c>
      <c r="E17" s="19" t="s">
        <v>61</v>
      </c>
      <c r="F17" s="19" t="s">
        <v>63</v>
      </c>
      <c r="G17" s="20" t="n">
        <v>1.5</v>
      </c>
      <c r="H17" s="21"/>
      <c r="I17" s="21"/>
      <c r="J17" s="21"/>
      <c r="K17" s="21"/>
      <c r="L17" s="22"/>
    </row>
    <row r="18" customFormat="false" ht="30.75" hidden="false" customHeight="true" outlineLevel="0" collapsed="false">
      <c r="A18" s="17" t="n">
        <v>17</v>
      </c>
      <c r="B18" s="18" t="n">
        <f aca="false">B17+1</f>
        <v>46336</v>
      </c>
      <c r="C18" s="17" t="str">
        <f aca="false">TEXT(B18,"ddd")</f>
        <v>Tue</v>
      </c>
      <c r="D18" s="19" t="s">
        <v>60</v>
      </c>
      <c r="E18" s="19" t="s">
        <v>61</v>
      </c>
      <c r="F18" s="19" t="s">
        <v>63</v>
      </c>
      <c r="G18" s="20" t="n">
        <v>1.5</v>
      </c>
      <c r="H18" s="21"/>
      <c r="I18" s="21"/>
      <c r="J18" s="21"/>
      <c r="K18" s="21"/>
      <c r="L18" s="22"/>
    </row>
    <row r="19" customFormat="false" ht="30.75" hidden="false" customHeight="true" outlineLevel="0" collapsed="false">
      <c r="A19" s="17" t="n">
        <v>18</v>
      </c>
      <c r="B19" s="18" t="n">
        <f aca="false">B18+1</f>
        <v>46337</v>
      </c>
      <c r="C19" s="17" t="str">
        <f aca="false">TEXT(B19,"ddd")</f>
        <v>Wed</v>
      </c>
      <c r="D19" s="19" t="s">
        <v>60</v>
      </c>
      <c r="E19" s="19" t="s">
        <v>61</v>
      </c>
      <c r="F19" s="19" t="s">
        <v>63</v>
      </c>
      <c r="G19" s="20" t="n">
        <v>1.5</v>
      </c>
      <c r="H19" s="21"/>
      <c r="I19" s="21"/>
      <c r="J19" s="21"/>
      <c r="K19" s="21"/>
      <c r="L19" s="22"/>
    </row>
    <row r="20" customFormat="false" ht="30.75" hidden="false" customHeight="true" outlineLevel="0" collapsed="false">
      <c r="A20" s="17" t="n">
        <v>19</v>
      </c>
      <c r="B20" s="18" t="n">
        <f aca="false">B19+1</f>
        <v>46338</v>
      </c>
      <c r="C20" s="17" t="str">
        <f aca="false">TEXT(B20,"ddd")</f>
        <v>Thu</v>
      </c>
      <c r="D20" s="19" t="s">
        <v>60</v>
      </c>
      <c r="E20" s="19" t="s">
        <v>61</v>
      </c>
      <c r="F20" s="19" t="s">
        <v>63</v>
      </c>
      <c r="G20" s="20" t="n">
        <v>1.5</v>
      </c>
      <c r="H20" s="21"/>
      <c r="I20" s="21"/>
      <c r="J20" s="21"/>
      <c r="K20" s="21"/>
      <c r="L20" s="22"/>
    </row>
    <row r="21" customFormat="false" ht="30.75" hidden="false" customHeight="true" outlineLevel="0" collapsed="false">
      <c r="A21" s="17" t="n">
        <v>20</v>
      </c>
      <c r="B21" s="18" t="n">
        <f aca="false">B20+1</f>
        <v>46339</v>
      </c>
      <c r="C21" s="17" t="str">
        <f aca="false">TEXT(B21,"ddd")</f>
        <v>Fri</v>
      </c>
      <c r="D21" s="19" t="s">
        <v>60</v>
      </c>
      <c r="E21" s="19" t="s">
        <v>61</v>
      </c>
      <c r="F21" s="19" t="s">
        <v>63</v>
      </c>
      <c r="G21" s="20" t="n">
        <v>1.5</v>
      </c>
      <c r="H21" s="21"/>
      <c r="I21" s="21"/>
      <c r="J21" s="21"/>
      <c r="K21" s="21"/>
      <c r="L21" s="22"/>
    </row>
    <row r="22" customFormat="false" ht="30.75" hidden="false" customHeight="true" outlineLevel="0" collapsed="false">
      <c r="A22" s="17" t="n">
        <v>21</v>
      </c>
      <c r="B22" s="18" t="n">
        <f aca="false">B21+1</f>
        <v>46340</v>
      </c>
      <c r="C22" s="17" t="str">
        <f aca="false">TEXT(B22,"ddd")</f>
        <v>Sat</v>
      </c>
      <c r="D22" s="19" t="s">
        <v>60</v>
      </c>
      <c r="E22" s="19" t="s">
        <v>61</v>
      </c>
      <c r="F22" s="19" t="s">
        <v>63</v>
      </c>
      <c r="G22" s="20" t="n">
        <v>1.5</v>
      </c>
      <c r="H22" s="21"/>
      <c r="I22" s="21"/>
      <c r="J22" s="21"/>
      <c r="K22" s="21"/>
      <c r="L22" s="22"/>
    </row>
    <row r="23" customFormat="false" ht="30.75" hidden="false" customHeight="true" outlineLevel="0" collapsed="false">
      <c r="A23" s="17" t="n">
        <v>22</v>
      </c>
      <c r="B23" s="18" t="n">
        <f aca="false">B22+1</f>
        <v>46341</v>
      </c>
      <c r="C23" s="17" t="str">
        <f aca="false">TEXT(B23,"ddd")</f>
        <v>Sun</v>
      </c>
      <c r="D23" s="19" t="s">
        <v>60</v>
      </c>
      <c r="E23" s="19" t="s">
        <v>61</v>
      </c>
      <c r="F23" s="19" t="s">
        <v>63</v>
      </c>
      <c r="G23" s="20" t="n">
        <v>1.5</v>
      </c>
      <c r="H23" s="21"/>
      <c r="I23" s="21"/>
      <c r="J23" s="21"/>
      <c r="K23" s="21"/>
      <c r="L23" s="22"/>
    </row>
    <row r="24" customFormat="false" ht="18" hidden="false" customHeight="true" outlineLevel="0" collapsed="false">
      <c r="A24" s="17" t="n">
        <v>23</v>
      </c>
      <c r="B24" s="18" t="n">
        <f aca="false">B23+1</f>
        <v>46342</v>
      </c>
      <c r="C24" s="17" t="str">
        <f aca="false">TEXT(B24,"ddd")</f>
        <v>Mon</v>
      </c>
      <c r="D24" s="19" t="s">
        <v>60</v>
      </c>
      <c r="E24" s="19" t="s">
        <v>64</v>
      </c>
      <c r="F24" s="19" t="s">
        <v>65</v>
      </c>
      <c r="G24" s="20" t="n">
        <v>0</v>
      </c>
      <c r="H24" s="21"/>
      <c r="I24" s="21"/>
      <c r="J24" s="21"/>
      <c r="K24" s="21"/>
      <c r="L24" s="22"/>
    </row>
    <row r="25" customFormat="false" ht="30.75" hidden="false" customHeight="true" outlineLevel="0" collapsed="false">
      <c r="A25" s="17" t="n">
        <v>24</v>
      </c>
      <c r="B25" s="18" t="n">
        <f aca="false">B24+1</f>
        <v>46343</v>
      </c>
      <c r="C25" s="17" t="str">
        <f aca="false">TEXT(B25,"ddd")</f>
        <v>Tue</v>
      </c>
      <c r="D25" s="19" t="s">
        <v>66</v>
      </c>
      <c r="E25" s="19" t="s">
        <v>23</v>
      </c>
      <c r="F25" s="19" t="s">
        <v>67</v>
      </c>
      <c r="G25" s="20" t="n">
        <v>8</v>
      </c>
      <c r="H25" s="21"/>
      <c r="I25" s="21"/>
      <c r="J25" s="21"/>
      <c r="K25" s="21"/>
      <c r="L25" s="22"/>
    </row>
    <row r="26" customFormat="false" ht="30.75" hidden="false" customHeight="true" outlineLevel="0" collapsed="false">
      <c r="A26" s="17" t="n">
        <v>25</v>
      </c>
      <c r="B26" s="18" t="n">
        <f aca="false">B25+1</f>
        <v>46344</v>
      </c>
      <c r="C26" s="17" t="str">
        <f aca="false">TEXT(B26,"ddd")</f>
        <v>Wed</v>
      </c>
      <c r="D26" s="19" t="s">
        <v>66</v>
      </c>
      <c r="E26" s="19" t="s">
        <v>23</v>
      </c>
      <c r="F26" s="19" t="s">
        <v>68</v>
      </c>
      <c r="G26" s="20" t="n">
        <v>8</v>
      </c>
      <c r="H26" s="21"/>
      <c r="I26" s="21"/>
      <c r="J26" s="21"/>
      <c r="K26" s="21"/>
      <c r="L26" s="22"/>
    </row>
    <row r="27" customFormat="false" ht="30.75" hidden="false" customHeight="true" outlineLevel="0" collapsed="false">
      <c r="A27" s="17" t="n">
        <v>26</v>
      </c>
      <c r="B27" s="18" t="n">
        <f aca="false">B26+1</f>
        <v>46345</v>
      </c>
      <c r="C27" s="17" t="str">
        <f aca="false">TEXT(B27,"ddd")</f>
        <v>Thu</v>
      </c>
      <c r="D27" s="19" t="s">
        <v>66</v>
      </c>
      <c r="E27" s="19" t="s">
        <v>23</v>
      </c>
      <c r="F27" s="19" t="s">
        <v>69</v>
      </c>
      <c r="G27" s="20" t="n">
        <v>8</v>
      </c>
      <c r="H27" s="21"/>
      <c r="I27" s="21"/>
      <c r="J27" s="21"/>
      <c r="K27" s="21"/>
      <c r="L27" s="22"/>
    </row>
    <row r="28" customFormat="false" ht="18" hidden="false" customHeight="true" outlineLevel="0" collapsed="false">
      <c r="A28" s="17" t="n">
        <v>27</v>
      </c>
      <c r="B28" s="18" t="n">
        <f aca="false">B27+1</f>
        <v>46346</v>
      </c>
      <c r="C28" s="17" t="str">
        <f aca="false">TEXT(B28,"ddd")</f>
        <v>Fri</v>
      </c>
      <c r="D28" s="19" t="s">
        <v>66</v>
      </c>
      <c r="E28" s="19" t="s">
        <v>23</v>
      </c>
      <c r="F28" s="19" t="s">
        <v>70</v>
      </c>
      <c r="G28" s="20" t="n">
        <v>8</v>
      </c>
      <c r="H28" s="21"/>
      <c r="I28" s="21"/>
      <c r="J28" s="21"/>
      <c r="K28" s="21"/>
      <c r="L28" s="22"/>
    </row>
    <row r="29" customFormat="false" ht="30.75" hidden="false" customHeight="true" outlineLevel="0" collapsed="false">
      <c r="A29" s="17" t="n">
        <v>28</v>
      </c>
      <c r="B29" s="18" t="n">
        <f aca="false">B28+1</f>
        <v>46347</v>
      </c>
      <c r="C29" s="17" t="str">
        <f aca="false">TEXT(B29,"ddd")</f>
        <v>Sat</v>
      </c>
      <c r="D29" s="19" t="s">
        <v>66</v>
      </c>
      <c r="E29" s="19" t="s">
        <v>23</v>
      </c>
      <c r="F29" s="19" t="s">
        <v>71</v>
      </c>
      <c r="G29" s="20" t="n">
        <v>8</v>
      </c>
      <c r="H29" s="21"/>
      <c r="I29" s="21"/>
      <c r="J29" s="21"/>
      <c r="K29" s="21"/>
      <c r="L29" s="22"/>
    </row>
    <row r="30" customFormat="false" ht="44.25" hidden="false" customHeight="true" outlineLevel="0" collapsed="false">
      <c r="A30" s="17" t="n">
        <v>29</v>
      </c>
      <c r="B30" s="18" t="n">
        <f aca="false">B29+1</f>
        <v>46348</v>
      </c>
      <c r="C30" s="17" t="str">
        <f aca="false">TEXT(B30,"ddd")</f>
        <v>Sun</v>
      </c>
      <c r="D30" s="19" t="s">
        <v>66</v>
      </c>
      <c r="E30" s="19" t="s">
        <v>24</v>
      </c>
      <c r="F30" s="19" t="s">
        <v>72</v>
      </c>
      <c r="G30" s="20" t="n">
        <v>5</v>
      </c>
      <c r="H30" s="21"/>
      <c r="I30" s="21"/>
      <c r="J30" s="21"/>
      <c r="K30" s="21"/>
      <c r="L30" s="22"/>
    </row>
    <row r="31" customFormat="false" ht="30.75" hidden="false" customHeight="true" outlineLevel="0" collapsed="false">
      <c r="A31" s="17" t="n">
        <v>30</v>
      </c>
      <c r="B31" s="18" t="n">
        <f aca="false">B30+1</f>
        <v>46349</v>
      </c>
      <c r="C31" s="17" t="str">
        <f aca="false">TEXT(B31,"ddd")</f>
        <v>Mon</v>
      </c>
      <c r="D31" s="19" t="s">
        <v>66</v>
      </c>
      <c r="E31" s="19" t="s">
        <v>24</v>
      </c>
      <c r="F31" s="19" t="s">
        <v>73</v>
      </c>
      <c r="G31" s="20" t="n">
        <v>8</v>
      </c>
      <c r="H31" s="21"/>
      <c r="I31" s="21"/>
      <c r="J31" s="21"/>
      <c r="K31" s="21"/>
      <c r="L31" s="22"/>
    </row>
    <row r="32" customFormat="false" ht="18" hidden="false" customHeight="true" outlineLevel="0" collapsed="false">
      <c r="A32" s="17" t="n">
        <v>31</v>
      </c>
      <c r="B32" s="18" t="n">
        <f aca="false">B31+1</f>
        <v>46350</v>
      </c>
      <c r="C32" s="17" t="str">
        <f aca="false">TEXT(B32,"ddd")</f>
        <v>Tue</v>
      </c>
      <c r="D32" s="19" t="s">
        <v>66</v>
      </c>
      <c r="E32" s="19" t="s">
        <v>24</v>
      </c>
      <c r="F32" s="19" t="s">
        <v>74</v>
      </c>
      <c r="G32" s="20" t="n">
        <v>8</v>
      </c>
      <c r="H32" s="21"/>
      <c r="I32" s="21"/>
      <c r="J32" s="21"/>
      <c r="K32" s="21"/>
      <c r="L32" s="22"/>
    </row>
    <row r="33" customFormat="false" ht="30.75" hidden="false" customHeight="true" outlineLevel="0" collapsed="false">
      <c r="A33" s="17" t="n">
        <v>32</v>
      </c>
      <c r="B33" s="18" t="n">
        <f aca="false">B32+1</f>
        <v>46351</v>
      </c>
      <c r="C33" s="17" t="str">
        <f aca="false">TEXT(B33,"ddd")</f>
        <v>Wed</v>
      </c>
      <c r="D33" s="19" t="s">
        <v>66</v>
      </c>
      <c r="E33" s="19" t="s">
        <v>24</v>
      </c>
      <c r="F33" s="19" t="s">
        <v>75</v>
      </c>
      <c r="G33" s="20" t="n">
        <v>8</v>
      </c>
      <c r="H33" s="21"/>
      <c r="I33" s="21"/>
      <c r="J33" s="21"/>
      <c r="K33" s="21"/>
      <c r="L33" s="22"/>
    </row>
    <row r="34" customFormat="false" ht="30.75" hidden="false" customHeight="true" outlineLevel="0" collapsed="false">
      <c r="A34" s="17" t="n">
        <v>33</v>
      </c>
      <c r="B34" s="18" t="n">
        <f aca="false">B33+1</f>
        <v>46352</v>
      </c>
      <c r="C34" s="17" t="str">
        <f aca="false">TEXT(B34,"ddd")</f>
        <v>Thu</v>
      </c>
      <c r="D34" s="19" t="s">
        <v>66</v>
      </c>
      <c r="E34" s="19" t="s">
        <v>24</v>
      </c>
      <c r="F34" s="19" t="s">
        <v>76</v>
      </c>
      <c r="G34" s="20" t="n">
        <v>8</v>
      </c>
      <c r="H34" s="21"/>
      <c r="I34" s="21"/>
      <c r="J34" s="21"/>
      <c r="K34" s="21"/>
      <c r="L34" s="22"/>
    </row>
    <row r="35" customFormat="false" ht="30.75" hidden="false" customHeight="true" outlineLevel="0" collapsed="false">
      <c r="A35" s="17" t="n">
        <v>34</v>
      </c>
      <c r="B35" s="18" t="n">
        <f aca="false">B34+1</f>
        <v>46353</v>
      </c>
      <c r="C35" s="17" t="str">
        <f aca="false">TEXT(B35,"ddd")</f>
        <v>Fri</v>
      </c>
      <c r="D35" s="19" t="s">
        <v>66</v>
      </c>
      <c r="E35" s="19" t="s">
        <v>25</v>
      </c>
      <c r="F35" s="19" t="s">
        <v>77</v>
      </c>
      <c r="G35" s="20" t="n">
        <v>8</v>
      </c>
      <c r="H35" s="21"/>
      <c r="I35" s="21"/>
      <c r="J35" s="21"/>
      <c r="K35" s="21"/>
      <c r="L35" s="22"/>
    </row>
    <row r="36" customFormat="false" ht="44.25" hidden="false" customHeight="true" outlineLevel="0" collapsed="false">
      <c r="A36" s="17" t="n">
        <v>35</v>
      </c>
      <c r="B36" s="18" t="n">
        <f aca="false">B35+1</f>
        <v>46354</v>
      </c>
      <c r="C36" s="17" t="str">
        <f aca="false">TEXT(B36,"ddd")</f>
        <v>Sat</v>
      </c>
      <c r="D36" s="19" t="s">
        <v>66</v>
      </c>
      <c r="E36" s="19" t="s">
        <v>25</v>
      </c>
      <c r="F36" s="19" t="s">
        <v>78</v>
      </c>
      <c r="G36" s="20" t="n">
        <v>8</v>
      </c>
      <c r="H36" s="21"/>
      <c r="I36" s="21"/>
      <c r="J36" s="21"/>
      <c r="K36" s="21"/>
      <c r="L36" s="22"/>
    </row>
    <row r="37" customFormat="false" ht="57.75" hidden="false" customHeight="true" outlineLevel="0" collapsed="false">
      <c r="A37" s="17" t="n">
        <v>36</v>
      </c>
      <c r="B37" s="18" t="n">
        <f aca="false">B36+1</f>
        <v>46355</v>
      </c>
      <c r="C37" s="17" t="str">
        <f aca="false">TEXT(B37,"ddd")</f>
        <v>Sun</v>
      </c>
      <c r="D37" s="19" t="s">
        <v>66</v>
      </c>
      <c r="E37" s="19" t="s">
        <v>25</v>
      </c>
      <c r="F37" s="19" t="s">
        <v>79</v>
      </c>
      <c r="G37" s="20" t="n">
        <v>5</v>
      </c>
      <c r="H37" s="21"/>
      <c r="I37" s="21"/>
      <c r="J37" s="21"/>
      <c r="K37" s="21"/>
      <c r="L37" s="22"/>
    </row>
    <row r="38" customFormat="false" ht="44.25" hidden="false" customHeight="true" outlineLevel="0" collapsed="false">
      <c r="A38" s="17" t="n">
        <v>37</v>
      </c>
      <c r="B38" s="18" t="n">
        <f aca="false">B37+1</f>
        <v>46356</v>
      </c>
      <c r="C38" s="17" t="str">
        <f aca="false">TEXT(B38,"ddd")</f>
        <v>Mon</v>
      </c>
      <c r="D38" s="19" t="s">
        <v>66</v>
      </c>
      <c r="E38" s="19" t="s">
        <v>25</v>
      </c>
      <c r="F38" s="19" t="s">
        <v>80</v>
      </c>
      <c r="G38" s="20" t="n">
        <v>8</v>
      </c>
      <c r="H38" s="21"/>
      <c r="I38" s="21"/>
      <c r="J38" s="21"/>
      <c r="K38" s="21"/>
      <c r="L38" s="22"/>
    </row>
    <row r="39" customFormat="false" ht="30.75" hidden="false" customHeight="true" outlineLevel="0" collapsed="false">
      <c r="A39" s="17" t="n">
        <v>38</v>
      </c>
      <c r="B39" s="18" t="n">
        <f aca="false">B38+1</f>
        <v>46357</v>
      </c>
      <c r="C39" s="17" t="str">
        <f aca="false">TEXT(B39,"ddd")</f>
        <v>Tue</v>
      </c>
      <c r="D39" s="19" t="s">
        <v>66</v>
      </c>
      <c r="E39" s="19" t="s">
        <v>26</v>
      </c>
      <c r="F39" s="19" t="s">
        <v>81</v>
      </c>
      <c r="G39" s="20" t="n">
        <v>8</v>
      </c>
      <c r="H39" s="21"/>
      <c r="I39" s="21"/>
      <c r="J39" s="21"/>
      <c r="K39" s="21"/>
      <c r="L39" s="22"/>
    </row>
    <row r="40" customFormat="false" ht="30.75" hidden="false" customHeight="true" outlineLevel="0" collapsed="false">
      <c r="A40" s="17" t="n">
        <v>39</v>
      </c>
      <c r="B40" s="18" t="n">
        <f aca="false">B39+1</f>
        <v>46358</v>
      </c>
      <c r="C40" s="17" t="str">
        <f aca="false">TEXT(B40,"ddd")</f>
        <v>Wed</v>
      </c>
      <c r="D40" s="19" t="s">
        <v>66</v>
      </c>
      <c r="E40" s="19" t="s">
        <v>26</v>
      </c>
      <c r="F40" s="19" t="s">
        <v>82</v>
      </c>
      <c r="G40" s="20" t="n">
        <v>8</v>
      </c>
      <c r="H40" s="21"/>
      <c r="I40" s="21"/>
      <c r="J40" s="21"/>
      <c r="K40" s="21"/>
      <c r="L40" s="22"/>
    </row>
    <row r="41" customFormat="false" ht="30.75" hidden="false" customHeight="true" outlineLevel="0" collapsed="false">
      <c r="A41" s="17" t="n">
        <v>40</v>
      </c>
      <c r="B41" s="18" t="n">
        <f aca="false">B40+1</f>
        <v>46359</v>
      </c>
      <c r="C41" s="17" t="str">
        <f aca="false">TEXT(B41,"ddd")</f>
        <v>Thu</v>
      </c>
      <c r="D41" s="19" t="s">
        <v>66</v>
      </c>
      <c r="E41" s="19" t="s">
        <v>26</v>
      </c>
      <c r="F41" s="19" t="s">
        <v>83</v>
      </c>
      <c r="G41" s="20" t="n">
        <v>8</v>
      </c>
      <c r="H41" s="21"/>
      <c r="I41" s="21"/>
      <c r="J41" s="21"/>
      <c r="K41" s="21"/>
      <c r="L41" s="22"/>
    </row>
    <row r="42" customFormat="false" ht="30.75" hidden="false" customHeight="true" outlineLevel="0" collapsed="false">
      <c r="A42" s="17" t="n">
        <v>41</v>
      </c>
      <c r="B42" s="18" t="n">
        <f aca="false">B41+1</f>
        <v>46360</v>
      </c>
      <c r="C42" s="17" t="str">
        <f aca="false">TEXT(B42,"ddd")</f>
        <v>Fri</v>
      </c>
      <c r="D42" s="19" t="s">
        <v>66</v>
      </c>
      <c r="E42" s="19" t="s">
        <v>27</v>
      </c>
      <c r="F42" s="19" t="s">
        <v>84</v>
      </c>
      <c r="G42" s="20" t="n">
        <v>8</v>
      </c>
      <c r="H42" s="21"/>
      <c r="I42" s="21"/>
      <c r="J42" s="21"/>
      <c r="K42" s="21"/>
      <c r="L42" s="22"/>
    </row>
    <row r="43" customFormat="false" ht="18" hidden="false" customHeight="true" outlineLevel="0" collapsed="false">
      <c r="A43" s="17" t="n">
        <v>42</v>
      </c>
      <c r="B43" s="18" t="n">
        <f aca="false">B42+1</f>
        <v>46361</v>
      </c>
      <c r="C43" s="17" t="str">
        <f aca="false">TEXT(B43,"ddd")</f>
        <v>Sat</v>
      </c>
      <c r="D43" s="19" t="s">
        <v>66</v>
      </c>
      <c r="E43" s="19" t="s">
        <v>27</v>
      </c>
      <c r="F43" s="19" t="s">
        <v>85</v>
      </c>
      <c r="G43" s="20" t="n">
        <v>8</v>
      </c>
      <c r="H43" s="21"/>
      <c r="I43" s="21"/>
      <c r="J43" s="21"/>
      <c r="K43" s="21"/>
      <c r="L43" s="22"/>
    </row>
    <row r="44" customFormat="false" ht="44.25" hidden="false" customHeight="true" outlineLevel="0" collapsed="false">
      <c r="A44" s="17" t="n">
        <v>43</v>
      </c>
      <c r="B44" s="18" t="n">
        <f aca="false">B43+1</f>
        <v>46362</v>
      </c>
      <c r="C44" s="17" t="str">
        <f aca="false">TEXT(B44,"ddd")</f>
        <v>Sun</v>
      </c>
      <c r="D44" s="19" t="s">
        <v>66</v>
      </c>
      <c r="E44" s="19" t="s">
        <v>27</v>
      </c>
      <c r="F44" s="19" t="s">
        <v>86</v>
      </c>
      <c r="G44" s="20" t="n">
        <v>5</v>
      </c>
      <c r="H44" s="21"/>
      <c r="I44" s="21"/>
      <c r="J44" s="21"/>
      <c r="K44" s="21"/>
      <c r="L44" s="22"/>
    </row>
    <row r="45" customFormat="false" ht="30.75" hidden="false" customHeight="true" outlineLevel="0" collapsed="false">
      <c r="A45" s="17" t="n">
        <v>44</v>
      </c>
      <c r="B45" s="18" t="n">
        <f aca="false">B44+1</f>
        <v>46363</v>
      </c>
      <c r="C45" s="17" t="str">
        <f aca="false">TEXT(B45,"ddd")</f>
        <v>Mon</v>
      </c>
      <c r="D45" s="19" t="s">
        <v>66</v>
      </c>
      <c r="E45" s="19" t="s">
        <v>27</v>
      </c>
      <c r="F45" s="19" t="s">
        <v>87</v>
      </c>
      <c r="G45" s="20" t="n">
        <v>8</v>
      </c>
      <c r="H45" s="21"/>
      <c r="I45" s="21"/>
      <c r="J45" s="21"/>
      <c r="K45" s="21"/>
      <c r="L45" s="22"/>
    </row>
    <row r="46" customFormat="false" ht="30.75" hidden="false" customHeight="true" outlineLevel="0" collapsed="false">
      <c r="A46" s="17" t="n">
        <v>45</v>
      </c>
      <c r="B46" s="18" t="n">
        <f aca="false">B45+1</f>
        <v>46364</v>
      </c>
      <c r="C46" s="17" t="str">
        <f aca="false">TEXT(B46,"ddd")</f>
        <v>Tue</v>
      </c>
      <c r="D46" s="19" t="s">
        <v>66</v>
      </c>
      <c r="E46" s="19" t="s">
        <v>27</v>
      </c>
      <c r="F46" s="19" t="s">
        <v>88</v>
      </c>
      <c r="G46" s="20" t="n">
        <v>8</v>
      </c>
      <c r="H46" s="21"/>
      <c r="I46" s="21"/>
      <c r="J46" s="21"/>
      <c r="K46" s="21"/>
      <c r="L46" s="22"/>
    </row>
    <row r="47" customFormat="false" ht="30.75" hidden="false" customHeight="true" outlineLevel="0" collapsed="false">
      <c r="A47" s="17" t="n">
        <v>46</v>
      </c>
      <c r="B47" s="18" t="n">
        <f aca="false">B46+1</f>
        <v>46365</v>
      </c>
      <c r="C47" s="17" t="str">
        <f aca="false">TEXT(B47,"ddd")</f>
        <v>Wed</v>
      </c>
      <c r="D47" s="19" t="s">
        <v>66</v>
      </c>
      <c r="E47" s="19" t="s">
        <v>28</v>
      </c>
      <c r="F47" s="19" t="s">
        <v>89</v>
      </c>
      <c r="G47" s="20" t="n">
        <v>8</v>
      </c>
      <c r="H47" s="21"/>
      <c r="I47" s="21"/>
      <c r="J47" s="21"/>
      <c r="K47" s="21"/>
      <c r="L47" s="22"/>
    </row>
    <row r="48" customFormat="false" ht="30.75" hidden="false" customHeight="true" outlineLevel="0" collapsed="false">
      <c r="A48" s="17" t="n">
        <v>47</v>
      </c>
      <c r="B48" s="18" t="n">
        <f aca="false">B47+1</f>
        <v>46366</v>
      </c>
      <c r="C48" s="17" t="str">
        <f aca="false">TEXT(B48,"ddd")</f>
        <v>Thu</v>
      </c>
      <c r="D48" s="19" t="s">
        <v>66</v>
      </c>
      <c r="E48" s="19" t="s">
        <v>28</v>
      </c>
      <c r="F48" s="19" t="s">
        <v>90</v>
      </c>
      <c r="G48" s="20" t="n">
        <v>8</v>
      </c>
      <c r="H48" s="21"/>
      <c r="I48" s="21"/>
      <c r="J48" s="21"/>
      <c r="K48" s="21"/>
      <c r="L48" s="22"/>
    </row>
    <row r="49" customFormat="false" ht="30.75" hidden="false" customHeight="true" outlineLevel="0" collapsed="false">
      <c r="A49" s="17" t="n">
        <v>48</v>
      </c>
      <c r="B49" s="18" t="n">
        <f aca="false">B48+1</f>
        <v>46367</v>
      </c>
      <c r="C49" s="17" t="str">
        <f aca="false">TEXT(B49,"ddd")</f>
        <v>Fri</v>
      </c>
      <c r="D49" s="19" t="s">
        <v>66</v>
      </c>
      <c r="E49" s="19" t="s">
        <v>28</v>
      </c>
      <c r="F49" s="19" t="s">
        <v>91</v>
      </c>
      <c r="G49" s="20" t="n">
        <v>8</v>
      </c>
      <c r="H49" s="21"/>
      <c r="I49" s="21"/>
      <c r="J49" s="21"/>
      <c r="K49" s="21"/>
      <c r="L49" s="22"/>
    </row>
    <row r="50" customFormat="false" ht="18" hidden="false" customHeight="true" outlineLevel="0" collapsed="false">
      <c r="A50" s="17" t="n">
        <v>49</v>
      </c>
      <c r="B50" s="18" t="n">
        <f aca="false">B49+1</f>
        <v>46368</v>
      </c>
      <c r="C50" s="17" t="str">
        <f aca="false">TEXT(B50,"ddd")</f>
        <v>Sat</v>
      </c>
      <c r="D50" s="19" t="s">
        <v>66</v>
      </c>
      <c r="E50" s="19" t="s">
        <v>28</v>
      </c>
      <c r="F50" s="19" t="s">
        <v>92</v>
      </c>
      <c r="G50" s="20" t="n">
        <v>8</v>
      </c>
      <c r="H50" s="21"/>
      <c r="I50" s="21"/>
      <c r="J50" s="21"/>
      <c r="K50" s="21"/>
      <c r="L50" s="22"/>
    </row>
    <row r="51" customFormat="false" ht="71.25" hidden="false" customHeight="true" outlineLevel="0" collapsed="false">
      <c r="A51" s="17" t="n">
        <v>50</v>
      </c>
      <c r="B51" s="18" t="n">
        <f aca="false">B50+1</f>
        <v>46369</v>
      </c>
      <c r="C51" s="17" t="str">
        <f aca="false">TEXT(B51,"ddd")</f>
        <v>Sun</v>
      </c>
      <c r="D51" s="19" t="s">
        <v>66</v>
      </c>
      <c r="E51" s="19" t="s">
        <v>29</v>
      </c>
      <c r="F51" s="19" t="s">
        <v>93</v>
      </c>
      <c r="G51" s="20" t="n">
        <v>5</v>
      </c>
      <c r="H51" s="21"/>
      <c r="I51" s="21"/>
      <c r="J51" s="21"/>
      <c r="K51" s="21"/>
      <c r="L51" s="22"/>
    </row>
    <row r="52" customFormat="false" ht="44.25" hidden="false" customHeight="true" outlineLevel="0" collapsed="false">
      <c r="A52" s="17" t="n">
        <v>51</v>
      </c>
      <c r="B52" s="18" t="n">
        <f aca="false">B51+1</f>
        <v>46370</v>
      </c>
      <c r="C52" s="17" t="str">
        <f aca="false">TEXT(B52,"ddd")</f>
        <v>Mon</v>
      </c>
      <c r="D52" s="19" t="s">
        <v>66</v>
      </c>
      <c r="E52" s="19" t="s">
        <v>29</v>
      </c>
      <c r="F52" s="19" t="s">
        <v>94</v>
      </c>
      <c r="G52" s="20" t="n">
        <v>8</v>
      </c>
      <c r="H52" s="21"/>
      <c r="I52" s="21"/>
      <c r="J52" s="21"/>
      <c r="K52" s="21"/>
      <c r="L52" s="22"/>
    </row>
    <row r="53" customFormat="false" ht="30.75" hidden="false" customHeight="true" outlineLevel="0" collapsed="false">
      <c r="A53" s="17" t="n">
        <v>52</v>
      </c>
      <c r="B53" s="18" t="n">
        <f aca="false">B52+1</f>
        <v>46371</v>
      </c>
      <c r="C53" s="17" t="str">
        <f aca="false">TEXT(B53,"ddd")</f>
        <v>Tue</v>
      </c>
      <c r="D53" s="19" t="s">
        <v>66</v>
      </c>
      <c r="E53" s="19" t="s">
        <v>29</v>
      </c>
      <c r="F53" s="19" t="s">
        <v>95</v>
      </c>
      <c r="G53" s="20" t="n">
        <v>8</v>
      </c>
      <c r="H53" s="21"/>
      <c r="I53" s="21"/>
      <c r="J53" s="21"/>
      <c r="K53" s="21"/>
      <c r="L53" s="22"/>
    </row>
    <row r="54" customFormat="false" ht="44.25" hidden="false" customHeight="true" outlineLevel="0" collapsed="false">
      <c r="A54" s="17" t="n">
        <v>53</v>
      </c>
      <c r="B54" s="18" t="n">
        <f aca="false">B53+1</f>
        <v>46372</v>
      </c>
      <c r="C54" s="17" t="str">
        <f aca="false">TEXT(B54,"ddd")</f>
        <v>Wed</v>
      </c>
      <c r="D54" s="19" t="s">
        <v>66</v>
      </c>
      <c r="E54" s="19" t="s">
        <v>29</v>
      </c>
      <c r="F54" s="19" t="s">
        <v>96</v>
      </c>
      <c r="G54" s="20" t="n">
        <v>8</v>
      </c>
      <c r="H54" s="21"/>
      <c r="I54" s="21"/>
      <c r="J54" s="21"/>
      <c r="K54" s="21"/>
      <c r="L54" s="22"/>
    </row>
    <row r="55" customFormat="false" ht="30.75" hidden="false" customHeight="true" outlineLevel="0" collapsed="false">
      <c r="A55" s="17" t="n">
        <v>54</v>
      </c>
      <c r="B55" s="18" t="n">
        <f aca="false">B54+1</f>
        <v>46373</v>
      </c>
      <c r="C55" s="17" t="str">
        <f aca="false">TEXT(B55,"ddd")</f>
        <v>Thu</v>
      </c>
      <c r="D55" s="19" t="s">
        <v>66</v>
      </c>
      <c r="E55" s="19" t="s">
        <v>30</v>
      </c>
      <c r="F55" s="19" t="s">
        <v>97</v>
      </c>
      <c r="G55" s="20" t="n">
        <v>8</v>
      </c>
      <c r="H55" s="21"/>
      <c r="I55" s="21"/>
      <c r="J55" s="21"/>
      <c r="K55" s="21"/>
      <c r="L55" s="22"/>
    </row>
    <row r="56" customFormat="false" ht="30.75" hidden="false" customHeight="true" outlineLevel="0" collapsed="false">
      <c r="A56" s="17" t="n">
        <v>55</v>
      </c>
      <c r="B56" s="18" t="n">
        <f aca="false">B55+1</f>
        <v>46374</v>
      </c>
      <c r="C56" s="17" t="str">
        <f aca="false">TEXT(B56,"ddd")</f>
        <v>Fri</v>
      </c>
      <c r="D56" s="19" t="s">
        <v>66</v>
      </c>
      <c r="E56" s="19" t="s">
        <v>30</v>
      </c>
      <c r="F56" s="19" t="s">
        <v>98</v>
      </c>
      <c r="G56" s="20" t="n">
        <v>8</v>
      </c>
      <c r="H56" s="21"/>
      <c r="I56" s="21"/>
      <c r="J56" s="21"/>
      <c r="K56" s="21"/>
      <c r="L56" s="22"/>
    </row>
    <row r="57" customFormat="false" ht="44.25" hidden="false" customHeight="true" outlineLevel="0" collapsed="false">
      <c r="A57" s="17" t="n">
        <v>56</v>
      </c>
      <c r="B57" s="18" t="n">
        <f aca="false">B56+1</f>
        <v>46375</v>
      </c>
      <c r="C57" s="17" t="str">
        <f aca="false">TEXT(B57,"ddd")</f>
        <v>Sat</v>
      </c>
      <c r="D57" s="19" t="s">
        <v>66</v>
      </c>
      <c r="E57" s="19" t="s">
        <v>30</v>
      </c>
      <c r="F57" s="19" t="s">
        <v>99</v>
      </c>
      <c r="G57" s="20" t="n">
        <v>8</v>
      </c>
      <c r="H57" s="21"/>
      <c r="I57" s="21"/>
      <c r="J57" s="21"/>
      <c r="K57" s="21"/>
      <c r="L57" s="22"/>
    </row>
    <row r="58" customFormat="false" ht="44.25" hidden="false" customHeight="true" outlineLevel="0" collapsed="false">
      <c r="A58" s="17" t="n">
        <v>57</v>
      </c>
      <c r="B58" s="18" t="n">
        <f aca="false">B57+1</f>
        <v>46376</v>
      </c>
      <c r="C58" s="17" t="str">
        <f aca="false">TEXT(B58,"ddd")</f>
        <v>Sun</v>
      </c>
      <c r="D58" s="19" t="s">
        <v>66</v>
      </c>
      <c r="E58" s="19" t="s">
        <v>30</v>
      </c>
      <c r="F58" s="19" t="s">
        <v>100</v>
      </c>
      <c r="G58" s="20" t="n">
        <v>5</v>
      </c>
      <c r="H58" s="21"/>
      <c r="I58" s="21"/>
      <c r="J58" s="21"/>
      <c r="K58" s="21"/>
      <c r="L58" s="22"/>
    </row>
    <row r="59" customFormat="false" ht="30.75" hidden="false" customHeight="true" outlineLevel="0" collapsed="false">
      <c r="A59" s="17" t="n">
        <v>58</v>
      </c>
      <c r="B59" s="18" t="n">
        <f aca="false">B58+1</f>
        <v>46377</v>
      </c>
      <c r="C59" s="17" t="str">
        <f aca="false">TEXT(B59,"ddd")</f>
        <v>Mon</v>
      </c>
      <c r="D59" s="19" t="s">
        <v>66</v>
      </c>
      <c r="E59" s="19" t="s">
        <v>31</v>
      </c>
      <c r="F59" s="19" t="s">
        <v>101</v>
      </c>
      <c r="G59" s="20" t="n">
        <v>8</v>
      </c>
      <c r="H59" s="21"/>
      <c r="I59" s="21"/>
      <c r="J59" s="21"/>
      <c r="K59" s="21"/>
      <c r="L59" s="22"/>
    </row>
    <row r="60" customFormat="false" ht="44.25" hidden="false" customHeight="true" outlineLevel="0" collapsed="false">
      <c r="A60" s="17" t="n">
        <v>59</v>
      </c>
      <c r="B60" s="18" t="n">
        <f aca="false">B59+1</f>
        <v>46378</v>
      </c>
      <c r="C60" s="17" t="str">
        <f aca="false">TEXT(B60,"ddd")</f>
        <v>Tue</v>
      </c>
      <c r="D60" s="19" t="s">
        <v>66</v>
      </c>
      <c r="E60" s="19" t="s">
        <v>31</v>
      </c>
      <c r="F60" s="19" t="s">
        <v>102</v>
      </c>
      <c r="G60" s="20" t="n">
        <v>8</v>
      </c>
      <c r="H60" s="21"/>
      <c r="I60" s="21"/>
      <c r="J60" s="21"/>
      <c r="K60" s="21"/>
      <c r="L60" s="22"/>
    </row>
    <row r="61" customFormat="false" ht="30.75" hidden="false" customHeight="true" outlineLevel="0" collapsed="false">
      <c r="A61" s="17" t="n">
        <v>60</v>
      </c>
      <c r="B61" s="18" t="n">
        <f aca="false">B60+1</f>
        <v>46379</v>
      </c>
      <c r="C61" s="17" t="str">
        <f aca="false">TEXT(B61,"ddd")</f>
        <v>Wed</v>
      </c>
      <c r="D61" s="19" t="s">
        <v>66</v>
      </c>
      <c r="E61" s="19" t="s">
        <v>32</v>
      </c>
      <c r="F61" s="19" t="s">
        <v>103</v>
      </c>
      <c r="G61" s="20" t="n">
        <v>8</v>
      </c>
      <c r="H61" s="21"/>
      <c r="I61" s="21"/>
      <c r="J61" s="21"/>
      <c r="K61" s="21"/>
      <c r="L61" s="22"/>
    </row>
    <row r="62" customFormat="false" ht="44.25" hidden="false" customHeight="true" outlineLevel="0" collapsed="false">
      <c r="A62" s="17" t="n">
        <v>61</v>
      </c>
      <c r="B62" s="18" t="n">
        <f aca="false">B61+1</f>
        <v>46380</v>
      </c>
      <c r="C62" s="17" t="str">
        <f aca="false">TEXT(B62,"ddd")</f>
        <v>Thu</v>
      </c>
      <c r="D62" s="19" t="s">
        <v>66</v>
      </c>
      <c r="E62" s="19" t="s">
        <v>32</v>
      </c>
      <c r="F62" s="19" t="s">
        <v>104</v>
      </c>
      <c r="G62" s="20" t="n">
        <v>8</v>
      </c>
      <c r="H62" s="21"/>
      <c r="I62" s="21"/>
      <c r="J62" s="21"/>
      <c r="K62" s="21"/>
      <c r="L62" s="22"/>
    </row>
    <row r="63" customFormat="false" ht="18" hidden="false" customHeight="true" outlineLevel="0" collapsed="false">
      <c r="A63" s="17" t="n">
        <v>62</v>
      </c>
      <c r="B63" s="18" t="n">
        <f aca="false">B62+1</f>
        <v>46381</v>
      </c>
      <c r="C63" s="17" t="str">
        <f aca="false">TEXT(B63,"ddd")</f>
        <v>Fri</v>
      </c>
      <c r="D63" s="19" t="s">
        <v>105</v>
      </c>
      <c r="E63" s="19" t="s">
        <v>106</v>
      </c>
      <c r="F63" s="19" t="s">
        <v>107</v>
      </c>
      <c r="G63" s="20" t="n">
        <v>8</v>
      </c>
      <c r="H63" s="21"/>
      <c r="I63" s="21"/>
      <c r="J63" s="21"/>
      <c r="K63" s="21"/>
      <c r="L63" s="22"/>
    </row>
    <row r="64" customFormat="false" ht="30.75" hidden="false" customHeight="true" outlineLevel="0" collapsed="false">
      <c r="A64" s="17" t="n">
        <v>63</v>
      </c>
      <c r="B64" s="18" t="n">
        <f aca="false">B63+1</f>
        <v>46382</v>
      </c>
      <c r="C64" s="17" t="str">
        <f aca="false">TEXT(B64,"ddd")</f>
        <v>Sat</v>
      </c>
      <c r="D64" s="19" t="s">
        <v>105</v>
      </c>
      <c r="E64" s="19" t="s">
        <v>106</v>
      </c>
      <c r="F64" s="19" t="s">
        <v>108</v>
      </c>
      <c r="G64" s="20" t="n">
        <v>8</v>
      </c>
      <c r="H64" s="21"/>
      <c r="I64" s="21"/>
      <c r="J64" s="21"/>
      <c r="K64" s="21"/>
      <c r="L64" s="22"/>
    </row>
    <row r="65" customFormat="false" ht="30.75" hidden="false" customHeight="true" outlineLevel="0" collapsed="false">
      <c r="A65" s="17" t="n">
        <v>64</v>
      </c>
      <c r="B65" s="18" t="n">
        <f aca="false">B64+1</f>
        <v>46383</v>
      </c>
      <c r="C65" s="17" t="str">
        <f aca="false">TEXT(B65,"ddd")</f>
        <v>Sun</v>
      </c>
      <c r="D65" s="19" t="s">
        <v>105</v>
      </c>
      <c r="E65" s="19" t="s">
        <v>109</v>
      </c>
      <c r="F65" s="19" t="s">
        <v>110</v>
      </c>
      <c r="G65" s="20" t="n">
        <v>6</v>
      </c>
      <c r="H65" s="21"/>
      <c r="I65" s="21"/>
      <c r="J65" s="21"/>
      <c r="K65" s="21"/>
      <c r="L65" s="22"/>
    </row>
    <row r="66" customFormat="false" ht="30.75" hidden="false" customHeight="true" outlineLevel="0" collapsed="false">
      <c r="A66" s="17" t="n">
        <v>65</v>
      </c>
      <c r="B66" s="18" t="n">
        <f aca="false">B65+1</f>
        <v>46384</v>
      </c>
      <c r="C66" s="17" t="str">
        <f aca="false">TEXT(B66,"ddd")</f>
        <v>Mon</v>
      </c>
      <c r="D66" s="19" t="s">
        <v>105</v>
      </c>
      <c r="E66" s="19" t="s">
        <v>106</v>
      </c>
      <c r="F66" s="19" t="s">
        <v>111</v>
      </c>
      <c r="G66" s="20" t="n">
        <v>8</v>
      </c>
      <c r="H66" s="21"/>
      <c r="I66" s="21"/>
      <c r="J66" s="21"/>
      <c r="K66" s="21"/>
      <c r="L66" s="22"/>
    </row>
    <row r="67" customFormat="false" ht="30.75" hidden="false" customHeight="true" outlineLevel="0" collapsed="false">
      <c r="A67" s="17" t="n">
        <v>66</v>
      </c>
      <c r="B67" s="18" t="n">
        <f aca="false">B66+1</f>
        <v>46385</v>
      </c>
      <c r="C67" s="17" t="str">
        <f aca="false">TEXT(B67,"ddd")</f>
        <v>Tue</v>
      </c>
      <c r="D67" s="19" t="s">
        <v>105</v>
      </c>
      <c r="E67" s="19" t="s">
        <v>106</v>
      </c>
      <c r="F67" s="19" t="s">
        <v>112</v>
      </c>
      <c r="G67" s="20" t="n">
        <v>8</v>
      </c>
      <c r="H67" s="21"/>
      <c r="I67" s="21"/>
      <c r="J67" s="21"/>
      <c r="K67" s="21"/>
      <c r="L67" s="22"/>
    </row>
    <row r="68" customFormat="false" ht="30.75" hidden="false" customHeight="true" outlineLevel="0" collapsed="false">
      <c r="A68" s="17" t="n">
        <v>67</v>
      </c>
      <c r="B68" s="18" t="n">
        <f aca="false">B67+1</f>
        <v>46386</v>
      </c>
      <c r="C68" s="17" t="str">
        <f aca="false">TEXT(B68,"ddd")</f>
        <v>Wed</v>
      </c>
      <c r="D68" s="19" t="s">
        <v>105</v>
      </c>
      <c r="E68" s="19" t="s">
        <v>106</v>
      </c>
      <c r="F68" s="19" t="s">
        <v>113</v>
      </c>
      <c r="G68" s="20" t="n">
        <v>8</v>
      </c>
      <c r="H68" s="21"/>
      <c r="I68" s="21"/>
      <c r="J68" s="21"/>
      <c r="K68" s="21"/>
      <c r="L68" s="22"/>
    </row>
    <row r="69" customFormat="false" ht="30.75" hidden="false" customHeight="true" outlineLevel="0" collapsed="false">
      <c r="A69" s="17" t="n">
        <v>68</v>
      </c>
      <c r="B69" s="18" t="n">
        <f aca="false">B68+1</f>
        <v>46387</v>
      </c>
      <c r="C69" s="17" t="str">
        <f aca="false">TEXT(B69,"ddd")</f>
        <v>Thu</v>
      </c>
      <c r="D69" s="19" t="s">
        <v>105</v>
      </c>
      <c r="E69" s="19" t="s">
        <v>106</v>
      </c>
      <c r="F69" s="19" t="s">
        <v>114</v>
      </c>
      <c r="G69" s="20" t="n">
        <v>8</v>
      </c>
      <c r="H69" s="21"/>
      <c r="I69" s="21"/>
      <c r="J69" s="21"/>
      <c r="K69" s="21"/>
      <c r="L69" s="22"/>
    </row>
    <row r="70" customFormat="false" ht="18" hidden="false" customHeight="true" outlineLevel="0" collapsed="false">
      <c r="A70" s="17" t="n">
        <v>69</v>
      </c>
      <c r="B70" s="18" t="n">
        <f aca="false">B69+1</f>
        <v>46388</v>
      </c>
      <c r="C70" s="17" t="str">
        <f aca="false">TEXT(B70,"ddd")</f>
        <v>Fri</v>
      </c>
      <c r="D70" s="19" t="s">
        <v>105</v>
      </c>
      <c r="E70" s="19" t="s">
        <v>106</v>
      </c>
      <c r="F70" s="19" t="s">
        <v>115</v>
      </c>
      <c r="G70" s="20" t="n">
        <v>8</v>
      </c>
      <c r="H70" s="21"/>
      <c r="I70" s="21"/>
      <c r="J70" s="21"/>
      <c r="K70" s="21"/>
      <c r="L70" s="22"/>
    </row>
    <row r="71" customFormat="false" ht="30.75" hidden="false" customHeight="true" outlineLevel="0" collapsed="false">
      <c r="A71" s="17" t="n">
        <v>70</v>
      </c>
      <c r="B71" s="18" t="n">
        <f aca="false">B70+1</f>
        <v>46389</v>
      </c>
      <c r="C71" s="17" t="str">
        <f aca="false">TEXT(B71,"ddd")</f>
        <v>Sat</v>
      </c>
      <c r="D71" s="19" t="s">
        <v>105</v>
      </c>
      <c r="E71" s="19" t="s">
        <v>106</v>
      </c>
      <c r="F71" s="19" t="s">
        <v>116</v>
      </c>
      <c r="G71" s="20" t="n">
        <v>8</v>
      </c>
      <c r="H71" s="21"/>
      <c r="I71" s="21"/>
      <c r="J71" s="21"/>
      <c r="K71" s="21"/>
      <c r="L71" s="22"/>
    </row>
    <row r="72" customFormat="false" ht="30.75" hidden="false" customHeight="true" outlineLevel="0" collapsed="false">
      <c r="A72" s="17" t="n">
        <v>71</v>
      </c>
      <c r="B72" s="18" t="n">
        <f aca="false">B71+1</f>
        <v>46390</v>
      </c>
      <c r="C72" s="17" t="str">
        <f aca="false">TEXT(B72,"ddd")</f>
        <v>Sun</v>
      </c>
      <c r="D72" s="19" t="s">
        <v>105</v>
      </c>
      <c r="E72" s="19" t="s">
        <v>109</v>
      </c>
      <c r="F72" s="19" t="s">
        <v>110</v>
      </c>
      <c r="G72" s="20" t="n">
        <v>6</v>
      </c>
      <c r="H72" s="21"/>
      <c r="I72" s="21"/>
      <c r="J72" s="21"/>
      <c r="K72" s="21"/>
      <c r="L72" s="22"/>
    </row>
    <row r="73" customFormat="false" ht="30.75" hidden="false" customHeight="true" outlineLevel="0" collapsed="false">
      <c r="A73" s="17" t="n">
        <v>72</v>
      </c>
      <c r="B73" s="18" t="n">
        <f aca="false">B72+1</f>
        <v>46391</v>
      </c>
      <c r="C73" s="17" t="str">
        <f aca="false">TEXT(B73,"ddd")</f>
        <v>Mon</v>
      </c>
      <c r="D73" s="19" t="s">
        <v>105</v>
      </c>
      <c r="E73" s="19" t="s">
        <v>106</v>
      </c>
      <c r="F73" s="19" t="s">
        <v>117</v>
      </c>
      <c r="G73" s="20" t="n">
        <v>8</v>
      </c>
      <c r="H73" s="21"/>
      <c r="I73" s="21"/>
      <c r="J73" s="21"/>
      <c r="K73" s="21"/>
      <c r="L73" s="22"/>
    </row>
    <row r="74" customFormat="false" ht="30.75" hidden="false" customHeight="true" outlineLevel="0" collapsed="false">
      <c r="A74" s="17" t="n">
        <v>73</v>
      </c>
      <c r="B74" s="18" t="n">
        <f aca="false">B73+1</f>
        <v>46392</v>
      </c>
      <c r="C74" s="17" t="str">
        <f aca="false">TEXT(B74,"ddd")</f>
        <v>Tue</v>
      </c>
      <c r="D74" s="19" t="s">
        <v>105</v>
      </c>
      <c r="E74" s="19" t="s">
        <v>106</v>
      </c>
      <c r="F74" s="19" t="s">
        <v>118</v>
      </c>
      <c r="G74" s="20" t="n">
        <v>8</v>
      </c>
      <c r="H74" s="21"/>
      <c r="I74" s="21"/>
      <c r="J74" s="21"/>
      <c r="K74" s="21"/>
      <c r="L74" s="22"/>
    </row>
    <row r="75" customFormat="false" ht="30.75" hidden="false" customHeight="true" outlineLevel="0" collapsed="false">
      <c r="A75" s="17" t="n">
        <v>74</v>
      </c>
      <c r="B75" s="18" t="n">
        <f aca="false">B74+1</f>
        <v>46393</v>
      </c>
      <c r="C75" s="17" t="str">
        <f aca="false">TEXT(B75,"ddd")</f>
        <v>Wed</v>
      </c>
      <c r="D75" s="19" t="s">
        <v>105</v>
      </c>
      <c r="E75" s="19" t="s">
        <v>106</v>
      </c>
      <c r="F75" s="19" t="s">
        <v>119</v>
      </c>
      <c r="G75" s="20" t="n">
        <v>8</v>
      </c>
      <c r="H75" s="21"/>
      <c r="I75" s="21"/>
      <c r="J75" s="21"/>
      <c r="K75" s="21"/>
      <c r="L75" s="22"/>
    </row>
    <row r="76" customFormat="false" ht="30.75" hidden="false" customHeight="true" outlineLevel="0" collapsed="false">
      <c r="A76" s="17" t="n">
        <v>75</v>
      </c>
      <c r="B76" s="18" t="n">
        <f aca="false">B75+1</f>
        <v>46394</v>
      </c>
      <c r="C76" s="17" t="str">
        <f aca="false">TEXT(B76,"ddd")</f>
        <v>Thu</v>
      </c>
      <c r="D76" s="19" t="s">
        <v>105</v>
      </c>
      <c r="E76" s="19" t="s">
        <v>106</v>
      </c>
      <c r="F76" s="19" t="s">
        <v>119</v>
      </c>
      <c r="G76" s="20" t="n">
        <v>8</v>
      </c>
      <c r="H76" s="21"/>
      <c r="I76" s="21"/>
      <c r="J76" s="21"/>
      <c r="K76" s="21"/>
      <c r="L76" s="22"/>
    </row>
    <row r="77" customFormat="false" ht="30.75" hidden="false" customHeight="true" outlineLevel="0" collapsed="false">
      <c r="A77" s="17" t="n">
        <v>76</v>
      </c>
      <c r="B77" s="18" t="n">
        <f aca="false">B76+1</f>
        <v>46395</v>
      </c>
      <c r="C77" s="17" t="str">
        <f aca="false">TEXT(B77,"ddd")</f>
        <v>Fri</v>
      </c>
      <c r="D77" s="19" t="s">
        <v>105</v>
      </c>
      <c r="E77" s="19" t="s">
        <v>106</v>
      </c>
      <c r="F77" s="19" t="s">
        <v>119</v>
      </c>
      <c r="G77" s="20" t="n">
        <v>8</v>
      </c>
      <c r="H77" s="21"/>
      <c r="I77" s="21"/>
      <c r="J77" s="21"/>
      <c r="K77" s="21"/>
      <c r="L77" s="22"/>
    </row>
    <row r="78" customFormat="false" ht="30.75" hidden="false" customHeight="true" outlineLevel="0" collapsed="false">
      <c r="A78" s="17" t="n">
        <v>77</v>
      </c>
      <c r="B78" s="18" t="n">
        <f aca="false">B77+1</f>
        <v>46396</v>
      </c>
      <c r="C78" s="17" t="str">
        <f aca="false">TEXT(B78,"ddd")</f>
        <v>Sat</v>
      </c>
      <c r="D78" s="19" t="s">
        <v>105</v>
      </c>
      <c r="E78" s="19" t="s">
        <v>106</v>
      </c>
      <c r="F78" s="19" t="s">
        <v>119</v>
      </c>
      <c r="G78" s="20" t="n">
        <v>8</v>
      </c>
      <c r="H78" s="21"/>
      <c r="I78" s="21"/>
      <c r="J78" s="21"/>
      <c r="K78" s="21"/>
      <c r="L78" s="22"/>
    </row>
    <row r="79" customFormat="false" ht="30.75" hidden="false" customHeight="true" outlineLevel="0" collapsed="false">
      <c r="A79" s="17" t="n">
        <v>78</v>
      </c>
      <c r="B79" s="18" t="n">
        <f aca="false">B78+1</f>
        <v>46397</v>
      </c>
      <c r="C79" s="17" t="str">
        <f aca="false">TEXT(B79,"ddd")</f>
        <v>Sun</v>
      </c>
      <c r="D79" s="19" t="s">
        <v>105</v>
      </c>
      <c r="E79" s="19" t="s">
        <v>109</v>
      </c>
      <c r="F79" s="19" t="s">
        <v>110</v>
      </c>
      <c r="G79" s="20" t="n">
        <v>6</v>
      </c>
      <c r="H79" s="21"/>
      <c r="I79" s="21"/>
      <c r="J79" s="21"/>
      <c r="K79" s="21"/>
      <c r="L79" s="22"/>
    </row>
    <row r="80" customFormat="false" ht="18" hidden="false" customHeight="true" outlineLevel="0" collapsed="false">
      <c r="A80" s="17" t="n">
        <v>79</v>
      </c>
      <c r="B80" s="18" t="n">
        <f aca="false">B79+1</f>
        <v>46398</v>
      </c>
      <c r="C80" s="17" t="str">
        <f aca="false">TEXT(B80,"ddd")</f>
        <v>Mon</v>
      </c>
      <c r="D80" s="19" t="s">
        <v>120</v>
      </c>
      <c r="E80" s="19" t="s">
        <v>109</v>
      </c>
      <c r="F80" s="19" t="s">
        <v>121</v>
      </c>
      <c r="G80" s="20" t="n">
        <v>8</v>
      </c>
      <c r="H80" s="21"/>
      <c r="I80" s="21"/>
      <c r="J80" s="21"/>
      <c r="K80" s="21"/>
      <c r="L80" s="22"/>
    </row>
    <row r="81" customFormat="false" ht="18" hidden="false" customHeight="true" outlineLevel="0" collapsed="false">
      <c r="A81" s="17" t="n">
        <v>80</v>
      </c>
      <c r="B81" s="18" t="n">
        <f aca="false">B80+1</f>
        <v>46399</v>
      </c>
      <c r="C81" s="17" t="str">
        <f aca="false">TEXT(B81,"ddd")</f>
        <v>Tue</v>
      </c>
      <c r="D81" s="19" t="s">
        <v>120</v>
      </c>
      <c r="E81" s="19" t="s">
        <v>122</v>
      </c>
      <c r="F81" s="19" t="s">
        <v>123</v>
      </c>
      <c r="G81" s="20" t="n">
        <v>8</v>
      </c>
      <c r="H81" s="21"/>
      <c r="I81" s="21"/>
      <c r="J81" s="21"/>
      <c r="K81" s="21"/>
      <c r="L81" s="22"/>
    </row>
    <row r="82" customFormat="false" ht="18" hidden="false" customHeight="true" outlineLevel="0" collapsed="false">
      <c r="A82" s="17" t="n">
        <v>81</v>
      </c>
      <c r="B82" s="18" t="n">
        <f aca="false">B81+1</f>
        <v>46400</v>
      </c>
      <c r="C82" s="17" t="str">
        <f aca="false">TEXT(B82,"ddd")</f>
        <v>Wed</v>
      </c>
      <c r="D82" s="19" t="s">
        <v>120</v>
      </c>
      <c r="E82" s="19" t="s">
        <v>109</v>
      </c>
      <c r="F82" s="19" t="s">
        <v>121</v>
      </c>
      <c r="G82" s="20" t="n">
        <v>8</v>
      </c>
      <c r="H82" s="21"/>
      <c r="I82" s="21"/>
      <c r="J82" s="21"/>
      <c r="K82" s="21"/>
      <c r="L82" s="22"/>
    </row>
    <row r="83" customFormat="false" ht="18" hidden="false" customHeight="true" outlineLevel="0" collapsed="false">
      <c r="A83" s="17" t="n">
        <v>82</v>
      </c>
      <c r="B83" s="18" t="n">
        <f aca="false">B82+1</f>
        <v>46401</v>
      </c>
      <c r="C83" s="17" t="str">
        <f aca="false">TEXT(B83,"ddd")</f>
        <v>Thu</v>
      </c>
      <c r="D83" s="19" t="s">
        <v>120</v>
      </c>
      <c r="E83" s="19" t="s">
        <v>122</v>
      </c>
      <c r="F83" s="19" t="s">
        <v>124</v>
      </c>
      <c r="G83" s="20" t="n">
        <v>8</v>
      </c>
      <c r="H83" s="21"/>
      <c r="I83" s="21"/>
      <c r="J83" s="21"/>
      <c r="K83" s="21"/>
      <c r="L83" s="22"/>
    </row>
    <row r="84" customFormat="false" ht="18" hidden="false" customHeight="true" outlineLevel="0" collapsed="false">
      <c r="A84" s="17" t="n">
        <v>83</v>
      </c>
      <c r="B84" s="18" t="n">
        <f aca="false">B83+1</f>
        <v>46402</v>
      </c>
      <c r="C84" s="17" t="str">
        <f aca="false">TEXT(B84,"ddd")</f>
        <v>Fri</v>
      </c>
      <c r="D84" s="19" t="s">
        <v>120</v>
      </c>
      <c r="E84" s="19" t="s">
        <v>125</v>
      </c>
      <c r="F84" s="19" t="s">
        <v>126</v>
      </c>
      <c r="G84" s="20" t="n">
        <v>8</v>
      </c>
      <c r="H84" s="21"/>
      <c r="I84" s="21"/>
      <c r="J84" s="21"/>
      <c r="K84" s="21"/>
      <c r="L84" s="22"/>
    </row>
    <row r="85" customFormat="false" ht="18" hidden="false" customHeight="true" outlineLevel="0" collapsed="false">
      <c r="A85" s="17" t="n">
        <v>84</v>
      </c>
      <c r="B85" s="18" t="n">
        <f aca="false">B84+1</f>
        <v>46403</v>
      </c>
      <c r="C85" s="17" t="str">
        <f aca="false">TEXT(B85,"ddd")</f>
        <v>Sat</v>
      </c>
      <c r="D85" s="19" t="s">
        <v>120</v>
      </c>
      <c r="E85" s="19" t="s">
        <v>109</v>
      </c>
      <c r="F85" s="19" t="s">
        <v>121</v>
      </c>
      <c r="G85" s="20" t="n">
        <v>8</v>
      </c>
      <c r="H85" s="21"/>
      <c r="I85" s="21"/>
      <c r="J85" s="21"/>
      <c r="K85" s="21"/>
      <c r="L85" s="22"/>
    </row>
    <row r="86" customFormat="false" ht="18" hidden="false" customHeight="true" outlineLevel="0" collapsed="false">
      <c r="A86" s="17" t="n">
        <v>85</v>
      </c>
      <c r="B86" s="18" t="n">
        <f aca="false">B85+1</f>
        <v>46404</v>
      </c>
      <c r="C86" s="17" t="str">
        <f aca="false">TEXT(B86,"ddd")</f>
        <v>Sun</v>
      </c>
      <c r="D86" s="19" t="s">
        <v>120</v>
      </c>
      <c r="E86" s="19" t="s">
        <v>122</v>
      </c>
      <c r="F86" s="19" t="s">
        <v>127</v>
      </c>
      <c r="G86" s="20" t="n">
        <v>5</v>
      </c>
      <c r="H86" s="21"/>
      <c r="I86" s="21"/>
      <c r="J86" s="21"/>
      <c r="K86" s="21"/>
      <c r="L86" s="22"/>
    </row>
    <row r="87" customFormat="false" ht="18" hidden="false" customHeight="true" outlineLevel="0" collapsed="false">
      <c r="A87" s="17" t="n">
        <v>86</v>
      </c>
      <c r="B87" s="18" t="n">
        <f aca="false">B86+1</f>
        <v>46405</v>
      </c>
      <c r="C87" s="17" t="str">
        <f aca="false">TEXT(B87,"ddd")</f>
        <v>Mon</v>
      </c>
      <c r="D87" s="19" t="s">
        <v>120</v>
      </c>
      <c r="E87" s="19" t="s">
        <v>109</v>
      </c>
      <c r="F87" s="19" t="s">
        <v>121</v>
      </c>
      <c r="G87" s="20" t="n">
        <v>8</v>
      </c>
      <c r="H87" s="21"/>
      <c r="I87" s="21"/>
      <c r="J87" s="21"/>
      <c r="K87" s="21"/>
      <c r="L87" s="22"/>
    </row>
    <row r="88" customFormat="false" ht="18" hidden="false" customHeight="true" outlineLevel="0" collapsed="false">
      <c r="A88" s="17" t="n">
        <v>87</v>
      </c>
      <c r="B88" s="18" t="n">
        <f aca="false">B87+1</f>
        <v>46406</v>
      </c>
      <c r="C88" s="17" t="str">
        <f aca="false">TEXT(B88,"ddd")</f>
        <v>Tue</v>
      </c>
      <c r="D88" s="19" t="s">
        <v>120</v>
      </c>
      <c r="E88" s="19" t="s">
        <v>122</v>
      </c>
      <c r="F88" s="19" t="s">
        <v>123</v>
      </c>
      <c r="G88" s="20" t="n">
        <v>8</v>
      </c>
      <c r="H88" s="21"/>
      <c r="I88" s="21"/>
      <c r="J88" s="21"/>
      <c r="K88" s="21"/>
      <c r="L88" s="22"/>
    </row>
    <row r="89" customFormat="false" ht="18" hidden="false" customHeight="true" outlineLevel="0" collapsed="false">
      <c r="A89" s="17" t="n">
        <v>88</v>
      </c>
      <c r="B89" s="18" t="n">
        <f aca="false">B88+1</f>
        <v>46407</v>
      </c>
      <c r="C89" s="17" t="str">
        <f aca="false">TEXT(B89,"ddd")</f>
        <v>Wed</v>
      </c>
      <c r="D89" s="19" t="s">
        <v>120</v>
      </c>
      <c r="E89" s="19" t="s">
        <v>109</v>
      </c>
      <c r="F89" s="19" t="s">
        <v>121</v>
      </c>
      <c r="G89" s="20" t="n">
        <v>8</v>
      </c>
      <c r="H89" s="21"/>
      <c r="I89" s="21"/>
      <c r="J89" s="21"/>
      <c r="K89" s="21"/>
      <c r="L89" s="22"/>
    </row>
    <row r="90" customFormat="false" ht="18" hidden="false" customHeight="true" outlineLevel="0" collapsed="false">
      <c r="A90" s="17" t="n">
        <v>89</v>
      </c>
      <c r="B90" s="18" t="n">
        <f aca="false">B89+1</f>
        <v>46408</v>
      </c>
      <c r="C90" s="17" t="str">
        <f aca="false">TEXT(B90,"ddd")</f>
        <v>Thu</v>
      </c>
      <c r="D90" s="19" t="s">
        <v>120</v>
      </c>
      <c r="E90" s="19" t="s">
        <v>122</v>
      </c>
      <c r="F90" s="19" t="s">
        <v>124</v>
      </c>
      <c r="G90" s="20" t="n">
        <v>8</v>
      </c>
      <c r="H90" s="21"/>
      <c r="I90" s="21"/>
      <c r="J90" s="21"/>
      <c r="K90" s="21"/>
      <c r="L90" s="22"/>
    </row>
    <row r="91" customFormat="false" ht="18" hidden="false" customHeight="true" outlineLevel="0" collapsed="false">
      <c r="A91" s="17" t="n">
        <v>90</v>
      </c>
      <c r="B91" s="18" t="n">
        <f aca="false">B90+1</f>
        <v>46409</v>
      </c>
      <c r="C91" s="17" t="str">
        <f aca="false">TEXT(B91,"ddd")</f>
        <v>Fri</v>
      </c>
      <c r="D91" s="19" t="s">
        <v>120</v>
      </c>
      <c r="E91" s="19" t="s">
        <v>125</v>
      </c>
      <c r="F91" s="19" t="s">
        <v>126</v>
      </c>
      <c r="G91" s="20" t="n">
        <v>8</v>
      </c>
      <c r="H91" s="21"/>
      <c r="I91" s="21"/>
      <c r="J91" s="21"/>
      <c r="K91" s="21"/>
      <c r="L91" s="22"/>
    </row>
    <row r="92" customFormat="false" ht="18" hidden="false" customHeight="true" outlineLevel="0" collapsed="false">
      <c r="A92" s="17" t="n">
        <v>91</v>
      </c>
      <c r="B92" s="18" t="n">
        <f aca="false">B91+1</f>
        <v>46410</v>
      </c>
      <c r="C92" s="17" t="str">
        <f aca="false">TEXT(B92,"ddd")</f>
        <v>Sat</v>
      </c>
      <c r="D92" s="19" t="s">
        <v>120</v>
      </c>
      <c r="E92" s="19" t="s">
        <v>109</v>
      </c>
      <c r="F92" s="19" t="s">
        <v>121</v>
      </c>
      <c r="G92" s="20" t="n">
        <v>8</v>
      </c>
      <c r="H92" s="21"/>
      <c r="I92" s="21"/>
      <c r="J92" s="21"/>
      <c r="K92" s="21"/>
      <c r="L92" s="22"/>
    </row>
    <row r="93" customFormat="false" ht="18" hidden="false" customHeight="true" outlineLevel="0" collapsed="false">
      <c r="A93" s="17" t="n">
        <v>92</v>
      </c>
      <c r="B93" s="18" t="n">
        <f aca="false">B92+1</f>
        <v>46411</v>
      </c>
      <c r="C93" s="17" t="str">
        <f aca="false">TEXT(B93,"ddd")</f>
        <v>Sun</v>
      </c>
      <c r="D93" s="19" t="s">
        <v>120</v>
      </c>
      <c r="E93" s="19" t="s">
        <v>122</v>
      </c>
      <c r="F93" s="19" t="s">
        <v>127</v>
      </c>
      <c r="G93" s="20" t="n">
        <v>5</v>
      </c>
      <c r="H93" s="21"/>
      <c r="I93" s="21"/>
      <c r="J93" s="21"/>
      <c r="K93" s="21"/>
      <c r="L93" s="22"/>
    </row>
    <row r="94" customFormat="false" ht="18" hidden="false" customHeight="true" outlineLevel="0" collapsed="false">
      <c r="A94" s="17" t="n">
        <v>93</v>
      </c>
      <c r="B94" s="18" t="n">
        <f aca="false">B93+1</f>
        <v>46412</v>
      </c>
      <c r="C94" s="17" t="str">
        <f aca="false">TEXT(B94,"ddd")</f>
        <v>Mon</v>
      </c>
      <c r="D94" s="19" t="s">
        <v>120</v>
      </c>
      <c r="E94" s="19" t="s">
        <v>109</v>
      </c>
      <c r="F94" s="19" t="s">
        <v>121</v>
      </c>
      <c r="G94" s="20" t="n">
        <v>8</v>
      </c>
      <c r="H94" s="21"/>
      <c r="I94" s="21"/>
      <c r="J94" s="21"/>
      <c r="K94" s="21"/>
      <c r="L94" s="22"/>
    </row>
    <row r="95" customFormat="false" ht="18" hidden="false" customHeight="true" outlineLevel="0" collapsed="false">
      <c r="A95" s="17" t="n">
        <v>94</v>
      </c>
      <c r="B95" s="18" t="n">
        <f aca="false">B94+1</f>
        <v>46413</v>
      </c>
      <c r="C95" s="17" t="str">
        <f aca="false">TEXT(B95,"ddd")</f>
        <v>Tue</v>
      </c>
      <c r="D95" s="19" t="s">
        <v>120</v>
      </c>
      <c r="E95" s="19" t="s">
        <v>122</v>
      </c>
      <c r="F95" s="19" t="s">
        <v>123</v>
      </c>
      <c r="G95" s="20" t="n">
        <v>8</v>
      </c>
      <c r="H95" s="21"/>
      <c r="I95" s="21"/>
      <c r="J95" s="21"/>
      <c r="K95" s="21"/>
      <c r="L95" s="22"/>
    </row>
    <row r="96" customFormat="false" ht="18" hidden="false" customHeight="true" outlineLevel="0" collapsed="false">
      <c r="A96" s="17" t="n">
        <v>95</v>
      </c>
      <c r="B96" s="18" t="n">
        <f aca="false">B95+1</f>
        <v>46414</v>
      </c>
      <c r="C96" s="17" t="str">
        <f aca="false">TEXT(B96,"ddd")</f>
        <v>Wed</v>
      </c>
      <c r="D96" s="19" t="s">
        <v>120</v>
      </c>
      <c r="E96" s="19" t="s">
        <v>109</v>
      </c>
      <c r="F96" s="19" t="s">
        <v>121</v>
      </c>
      <c r="G96" s="20" t="n">
        <v>8</v>
      </c>
      <c r="H96" s="21"/>
      <c r="I96" s="21"/>
      <c r="J96" s="21"/>
      <c r="K96" s="21"/>
      <c r="L96" s="22"/>
    </row>
    <row r="97" customFormat="false" ht="18" hidden="false" customHeight="true" outlineLevel="0" collapsed="false">
      <c r="A97" s="17" t="n">
        <v>96</v>
      </c>
      <c r="B97" s="18" t="n">
        <f aca="false">B96+1</f>
        <v>46415</v>
      </c>
      <c r="C97" s="17" t="str">
        <f aca="false">TEXT(B97,"ddd")</f>
        <v>Thu</v>
      </c>
      <c r="D97" s="19" t="s">
        <v>120</v>
      </c>
      <c r="E97" s="19" t="s">
        <v>122</v>
      </c>
      <c r="F97" s="19" t="s">
        <v>124</v>
      </c>
      <c r="G97" s="20" t="n">
        <v>8</v>
      </c>
      <c r="H97" s="21"/>
      <c r="I97" s="21"/>
      <c r="J97" s="21"/>
      <c r="K97" s="21"/>
      <c r="L97" s="22"/>
    </row>
    <row r="98" customFormat="false" ht="18" hidden="false" customHeight="true" outlineLevel="0" collapsed="false">
      <c r="A98" s="17" t="n">
        <v>97</v>
      </c>
      <c r="B98" s="18" t="n">
        <f aca="false">B97+1</f>
        <v>46416</v>
      </c>
      <c r="C98" s="17" t="str">
        <f aca="false">TEXT(B98,"ddd")</f>
        <v>Fri</v>
      </c>
      <c r="D98" s="19" t="s">
        <v>120</v>
      </c>
      <c r="E98" s="19" t="s">
        <v>125</v>
      </c>
      <c r="F98" s="19" t="s">
        <v>126</v>
      </c>
      <c r="G98" s="20" t="n">
        <v>8</v>
      </c>
      <c r="H98" s="21"/>
      <c r="I98" s="21"/>
      <c r="J98" s="21"/>
      <c r="K98" s="21"/>
      <c r="L98" s="22"/>
    </row>
    <row r="99" customFormat="false" ht="18" hidden="false" customHeight="true" outlineLevel="0" collapsed="false">
      <c r="A99" s="17" t="n">
        <v>98</v>
      </c>
      <c r="B99" s="18" t="n">
        <f aca="false">B98+1</f>
        <v>46417</v>
      </c>
      <c r="C99" s="17" t="str">
        <f aca="false">TEXT(B99,"ddd")</f>
        <v>Sat</v>
      </c>
      <c r="D99" s="19" t="s">
        <v>120</v>
      </c>
      <c r="E99" s="19" t="s">
        <v>109</v>
      </c>
      <c r="F99" s="19" t="s">
        <v>121</v>
      </c>
      <c r="G99" s="20" t="n">
        <v>8</v>
      </c>
      <c r="H99" s="21"/>
      <c r="I99" s="21"/>
      <c r="J99" s="21"/>
      <c r="K99" s="21"/>
      <c r="L99" s="22"/>
    </row>
    <row r="100" customFormat="false" ht="18" hidden="false" customHeight="true" outlineLevel="0" collapsed="false">
      <c r="A100" s="17" t="n">
        <v>99</v>
      </c>
      <c r="B100" s="18" t="n">
        <f aca="false">B99+1</f>
        <v>46418</v>
      </c>
      <c r="C100" s="17" t="str">
        <f aca="false">TEXT(B100,"ddd")</f>
        <v>Sun</v>
      </c>
      <c r="D100" s="19" t="s">
        <v>120</v>
      </c>
      <c r="E100" s="19" t="s">
        <v>122</v>
      </c>
      <c r="F100" s="19" t="s">
        <v>127</v>
      </c>
      <c r="G100" s="20" t="n">
        <v>5</v>
      </c>
      <c r="H100" s="21"/>
      <c r="I100" s="21"/>
      <c r="J100" s="21"/>
      <c r="K100" s="21"/>
      <c r="L100" s="22"/>
    </row>
    <row r="101" customFormat="false" ht="30.75" hidden="false" customHeight="true" outlineLevel="0" collapsed="false">
      <c r="A101" s="17" t="n">
        <v>100</v>
      </c>
      <c r="B101" s="18" t="n">
        <f aca="false">B100+1</f>
        <v>46419</v>
      </c>
      <c r="C101" s="17" t="str">
        <f aca="false">TEXT(B101,"ddd")</f>
        <v>Mon</v>
      </c>
      <c r="D101" s="19" t="s">
        <v>128</v>
      </c>
      <c r="E101" s="19" t="s">
        <v>125</v>
      </c>
      <c r="F101" s="19" t="s">
        <v>129</v>
      </c>
      <c r="G101" s="20" t="n">
        <v>4</v>
      </c>
      <c r="H101" s="21"/>
      <c r="I101" s="21"/>
      <c r="J101" s="21"/>
      <c r="K101" s="21"/>
      <c r="L101" s="22"/>
    </row>
    <row r="102" customFormat="false" ht="30.75" hidden="false" customHeight="true" outlineLevel="0" collapsed="false">
      <c r="A102" s="17" t="n">
        <v>101</v>
      </c>
      <c r="B102" s="18" t="n">
        <f aca="false">B101+1</f>
        <v>46420</v>
      </c>
      <c r="C102" s="17" t="str">
        <f aca="false">TEXT(B102,"ddd")</f>
        <v>Tue</v>
      </c>
      <c r="D102" s="19" t="s">
        <v>128</v>
      </c>
      <c r="E102" s="19" t="s">
        <v>125</v>
      </c>
      <c r="F102" s="19" t="s">
        <v>129</v>
      </c>
      <c r="G102" s="20" t="n">
        <v>4</v>
      </c>
      <c r="H102" s="21"/>
      <c r="I102" s="21"/>
      <c r="J102" s="21"/>
      <c r="K102" s="21"/>
      <c r="L102" s="22"/>
    </row>
    <row r="103" customFormat="false" ht="30.75" hidden="false" customHeight="true" outlineLevel="0" collapsed="false">
      <c r="A103" s="17" t="n">
        <v>102</v>
      </c>
      <c r="B103" s="18" t="n">
        <f aca="false">B102+1</f>
        <v>46421</v>
      </c>
      <c r="C103" s="17" t="str">
        <f aca="false">TEXT(B103,"ddd")</f>
        <v>Wed</v>
      </c>
      <c r="D103" s="19" t="s">
        <v>128</v>
      </c>
      <c r="E103" s="19" t="s">
        <v>125</v>
      </c>
      <c r="F103" s="19" t="s">
        <v>129</v>
      </c>
      <c r="G103" s="20" t="n">
        <v>4</v>
      </c>
      <c r="H103" s="21"/>
      <c r="I103" s="21"/>
      <c r="J103" s="21"/>
      <c r="K103" s="21"/>
      <c r="L103" s="22"/>
    </row>
    <row r="104" customFormat="false" ht="30.75" hidden="false" customHeight="true" outlineLevel="0" collapsed="false">
      <c r="A104" s="17" t="n">
        <v>103</v>
      </c>
      <c r="B104" s="18" t="n">
        <f aca="false">B103+1</f>
        <v>46422</v>
      </c>
      <c r="C104" s="17" t="str">
        <f aca="false">TEXT(B104,"ddd")</f>
        <v>Thu</v>
      </c>
      <c r="D104" s="19" t="s">
        <v>128</v>
      </c>
      <c r="E104" s="19" t="s">
        <v>125</v>
      </c>
      <c r="F104" s="19" t="s">
        <v>129</v>
      </c>
      <c r="G104" s="20" t="n">
        <v>4</v>
      </c>
      <c r="H104" s="21"/>
      <c r="I104" s="21"/>
      <c r="J104" s="21"/>
      <c r="K104" s="21"/>
      <c r="L104" s="22"/>
    </row>
    <row r="105" customFormat="false" ht="18" hidden="false" customHeight="true" outlineLevel="0" collapsed="false">
      <c r="A105" s="17" t="n">
        <v>104</v>
      </c>
      <c r="B105" s="18" t="n">
        <f aca="false">B104+1</f>
        <v>46423</v>
      </c>
      <c r="C105" s="17" t="str">
        <f aca="false">TEXT(B105,"ddd")</f>
        <v>Fri</v>
      </c>
      <c r="D105" s="19" t="s">
        <v>128</v>
      </c>
      <c r="E105" s="19" t="s">
        <v>64</v>
      </c>
      <c r="F105" s="19" t="s">
        <v>130</v>
      </c>
      <c r="G105" s="20" t="n">
        <v>0</v>
      </c>
      <c r="H105" s="21"/>
      <c r="I105" s="21"/>
      <c r="J105" s="21"/>
      <c r="K105" s="21"/>
      <c r="L105" s="22"/>
    </row>
  </sheetData>
  <autoFilter ref="A1:L105"/>
  <conditionalFormatting sqref="A2:L105">
    <cfRule type="expression" priority="2" aboveAverage="0" equalAverage="0" bottom="0" percent="0" rank="0" text="" dxfId="6">
      <formula>$B2=TODAY()</formula>
    </cfRule>
    <cfRule type="expression" priority="3" aboveAverage="0" equalAverage="0" bottom="0" percent="0" rank="0" text="" dxfId="7">
      <formula>$H2="Yes"</formula>
    </cfRule>
    <cfRule type="expression" priority="4" aboveAverage="0" equalAverage="0" bottom="0" percent="0" rank="0" text="" dxfId="8">
      <formula>$H2="Partial"</formula>
    </cfRule>
    <cfRule type="expression" priority="5" aboveAverage="0" equalAverage="0" bottom="0" percent="0" rank="0" text="" dxfId="9">
      <formula>AND($B2&lt;TODAY(),$H2="")</formula>
    </cfRule>
  </conditionalFormatting>
  <dataValidations count="2">
    <dataValidation allowBlank="true" errorStyle="stop" operator="between" showDropDown="false" showErrorMessage="false" showInputMessage="false" sqref="H2:H105" type="list">
      <formula1>"Yes,Partial,No"</formula1>
      <formula2>0</formula2>
    </dataValidation>
    <dataValidation allowBlank="true" errorStyle="stop" operator="between" showDropDown="false" showErrorMessage="false" showInputMessage="false" sqref="I2:I10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3"/>
    <col collapsed="false" customWidth="true" hidden="false" outlineLevel="0" max="6" min="4" style="0" width="16"/>
    <col collapsed="false" customWidth="true" hidden="false" outlineLevel="0" max="7" min="7" style="0" width="50"/>
  </cols>
  <sheetData>
    <row r="1" customFormat="false" ht="15" hidden="false" customHeight="false" outlineLevel="0" collapsed="false">
      <c r="A1" s="9" t="s">
        <v>131</v>
      </c>
    </row>
    <row r="2" customFormat="false" ht="31.5" hidden="false" customHeight="true" outlineLevel="0" collapsed="false">
      <c r="A2" s="16" t="s">
        <v>132</v>
      </c>
      <c r="B2" s="16" t="s">
        <v>40</v>
      </c>
      <c r="C2" s="16" t="s">
        <v>133</v>
      </c>
      <c r="D2" s="16" t="s">
        <v>134</v>
      </c>
      <c r="E2" s="16" t="s">
        <v>135</v>
      </c>
      <c r="F2" s="16" t="s">
        <v>136</v>
      </c>
      <c r="G2" s="16" t="s">
        <v>137</v>
      </c>
    </row>
    <row r="3" customFormat="false" ht="15" hidden="false" customHeight="false" outlineLevel="0" collapsed="false">
      <c r="A3" s="23" t="n">
        <v>1</v>
      </c>
      <c r="B3" s="24" t="n">
        <f aca="false">DATE(2026,12,27)</f>
        <v>46383</v>
      </c>
      <c r="C3" s="23" t="n">
        <v>34</v>
      </c>
      <c r="D3" s="23" t="n">
        <v>12</v>
      </c>
      <c r="E3" s="23" t="n">
        <v>8</v>
      </c>
      <c r="F3" s="23" t="n">
        <v>6</v>
      </c>
      <c r="G3" s="23" t="s">
        <v>138</v>
      </c>
    </row>
    <row r="4" customFormat="false" ht="15" hidden="false" customHeight="false" outlineLevel="0" collapsed="false">
      <c r="A4" s="25"/>
      <c r="B4" s="26"/>
      <c r="C4" s="25"/>
      <c r="D4" s="25"/>
      <c r="E4" s="25"/>
      <c r="F4" s="25"/>
      <c r="G4" s="25"/>
    </row>
    <row r="5" customFormat="false" ht="15" hidden="false" customHeight="false" outlineLevel="0" collapsed="false">
      <c r="A5" s="25"/>
      <c r="B5" s="26"/>
      <c r="C5" s="25"/>
      <c r="D5" s="25"/>
      <c r="E5" s="25"/>
      <c r="F5" s="25"/>
      <c r="G5" s="25"/>
    </row>
    <row r="6" customFormat="false" ht="15" hidden="false" customHeight="false" outlineLevel="0" collapsed="false">
      <c r="A6" s="25"/>
      <c r="B6" s="26"/>
      <c r="C6" s="25"/>
      <c r="D6" s="25"/>
      <c r="E6" s="25"/>
      <c r="F6" s="25"/>
      <c r="G6" s="25"/>
    </row>
    <row r="7" customFormat="false" ht="15" hidden="false" customHeight="false" outlineLevel="0" collapsed="false">
      <c r="A7" s="25"/>
      <c r="B7" s="26"/>
      <c r="C7" s="25"/>
      <c r="D7" s="25"/>
      <c r="E7" s="25"/>
      <c r="F7" s="25"/>
      <c r="G7" s="25"/>
    </row>
    <row r="8" customFormat="false" ht="15" hidden="false" customHeight="false" outlineLevel="0" collapsed="false">
      <c r="A8" s="25"/>
      <c r="B8" s="26"/>
      <c r="C8" s="25"/>
      <c r="D8" s="25"/>
      <c r="E8" s="25"/>
      <c r="F8" s="25"/>
      <c r="G8" s="25"/>
    </row>
    <row r="9" customFormat="false" ht="15" hidden="false" customHeight="false" outlineLevel="0" collapsed="false">
      <c r="A9" s="25"/>
      <c r="B9" s="26"/>
      <c r="C9" s="25"/>
      <c r="D9" s="25"/>
      <c r="E9" s="25"/>
      <c r="F9" s="25"/>
      <c r="G9" s="25"/>
    </row>
    <row r="10" customFormat="false" ht="15" hidden="false" customHeight="false" outlineLevel="0" collapsed="false">
      <c r="A10" s="25"/>
      <c r="B10" s="26"/>
      <c r="C10" s="25"/>
      <c r="D10" s="25"/>
      <c r="E10" s="25"/>
      <c r="F10" s="25"/>
      <c r="G10" s="25"/>
    </row>
    <row r="11" customFormat="false" ht="15" hidden="false" customHeight="false" outlineLevel="0" collapsed="false">
      <c r="A11" s="25"/>
      <c r="B11" s="26"/>
      <c r="C11" s="25"/>
      <c r="D11" s="25"/>
      <c r="E11" s="25"/>
      <c r="F11" s="25"/>
      <c r="G11" s="25"/>
    </row>
    <row r="12" customFormat="false" ht="15" hidden="false" customHeight="false" outlineLevel="0" collapsed="false">
      <c r="A12" s="25"/>
      <c r="B12" s="26"/>
      <c r="C12" s="25"/>
      <c r="D12" s="25"/>
      <c r="E12" s="25"/>
      <c r="F12" s="25"/>
      <c r="G12" s="25"/>
    </row>
    <row r="13" customFormat="false" ht="15" hidden="false" customHeight="false" outlineLevel="0" collapsed="false">
      <c r="A13" s="25"/>
      <c r="B13" s="26"/>
      <c r="C13" s="25"/>
      <c r="D13" s="25"/>
      <c r="E13" s="25"/>
      <c r="F13" s="25"/>
      <c r="G13" s="25"/>
    </row>
    <row r="14" customFormat="false" ht="15" hidden="false" customHeight="false" outlineLevel="0" collapsed="false">
      <c r="A14" s="25"/>
      <c r="B14" s="26"/>
      <c r="C14" s="25"/>
      <c r="D14" s="25"/>
      <c r="E14" s="25"/>
      <c r="F14" s="25"/>
      <c r="G14" s="25"/>
    </row>
    <row r="15" customFormat="false" ht="15" hidden="false" customHeight="false" outlineLevel="0" collapsed="false">
      <c r="A15" s="25"/>
      <c r="B15" s="26"/>
      <c r="C15" s="25"/>
      <c r="D15" s="25"/>
      <c r="E15" s="25"/>
      <c r="F15" s="25"/>
      <c r="G15" s="25"/>
    </row>
    <row r="16" customFormat="false" ht="15" hidden="false" customHeight="false" outlineLevel="0" collapsed="false">
      <c r="A16" s="25"/>
      <c r="B16" s="26"/>
      <c r="C16" s="25"/>
      <c r="D16" s="25"/>
      <c r="E16" s="25"/>
      <c r="F16" s="25"/>
      <c r="G16" s="25"/>
    </row>
    <row r="17" customFormat="false" ht="15" hidden="false" customHeight="false" outlineLevel="0" collapsed="false">
      <c r="A17" s="25"/>
      <c r="B17" s="26"/>
      <c r="C17" s="25"/>
      <c r="D17" s="25"/>
      <c r="E17" s="25"/>
      <c r="F17" s="25"/>
      <c r="G17" s="25"/>
    </row>
    <row r="18" customFormat="false" ht="15" hidden="false" customHeight="false" outlineLevel="0" collapsed="false">
      <c r="A18" s="25"/>
      <c r="B18" s="26"/>
      <c r="C18" s="25"/>
      <c r="D18" s="25"/>
      <c r="E18" s="25"/>
      <c r="F18" s="25"/>
      <c r="G18" s="25"/>
    </row>
    <row r="19" customFormat="false" ht="15" hidden="false" customHeight="false" outlineLevel="0" collapsed="false">
      <c r="A19" s="25"/>
      <c r="B19" s="26"/>
      <c r="C19" s="25"/>
      <c r="D19" s="25"/>
      <c r="E19" s="25"/>
      <c r="F19" s="25"/>
      <c r="G19" s="25"/>
    </row>
    <row r="20" customFormat="false" ht="15" hidden="false" customHeight="false" outlineLevel="0" collapsed="false">
      <c r="A20" s="25"/>
      <c r="B20" s="26"/>
      <c r="C20" s="25"/>
      <c r="D20" s="25"/>
      <c r="E20" s="25"/>
      <c r="F20" s="25"/>
      <c r="G20" s="25"/>
    </row>
    <row r="21" customFormat="false" ht="15" hidden="false" customHeight="false" outlineLevel="0" collapsed="false">
      <c r="A21" s="25"/>
      <c r="B21" s="26"/>
      <c r="C21" s="25"/>
      <c r="D21" s="25"/>
      <c r="E21" s="25"/>
      <c r="F21" s="25"/>
      <c r="G21" s="25"/>
    </row>
    <row r="22" customFormat="false" ht="15" hidden="false" customHeight="false" outlineLevel="0" collapsed="false">
      <c r="A22" s="25"/>
      <c r="B22" s="26"/>
      <c r="C22" s="25"/>
      <c r="D22" s="25"/>
      <c r="E22" s="25"/>
      <c r="F22" s="25"/>
      <c r="G22" s="25"/>
    </row>
    <row r="23" customFormat="false" ht="15" hidden="false" customHeight="false" outlineLevel="0" collapsed="false">
      <c r="A23" s="25"/>
      <c r="B23" s="26"/>
      <c r="C23" s="25"/>
      <c r="D23" s="25"/>
      <c r="E23" s="25"/>
      <c r="F23" s="25"/>
      <c r="G23" s="25"/>
    </row>
    <row r="24" customFormat="false" ht="15" hidden="false" customHeight="false" outlineLevel="0" collapsed="false">
      <c r="A24" s="25"/>
      <c r="B24" s="26"/>
      <c r="C24" s="25"/>
      <c r="D24" s="25"/>
      <c r="E24" s="25"/>
      <c r="F24" s="25"/>
      <c r="G24" s="25"/>
    </row>
    <row r="25" customFormat="false" ht="15" hidden="false" customHeight="false" outlineLevel="0" collapsed="false">
      <c r="A25" s="25"/>
      <c r="B25" s="26"/>
      <c r="C25" s="25"/>
      <c r="D25" s="25"/>
      <c r="E25" s="25"/>
      <c r="F25" s="25"/>
      <c r="G25" s="25"/>
    </row>
    <row r="26" customFormat="false" ht="15" hidden="false" customHeight="false" outlineLevel="0" collapsed="false">
      <c r="A26" s="25"/>
      <c r="B26" s="26"/>
      <c r="C26" s="25"/>
      <c r="D26" s="25"/>
      <c r="E26" s="25"/>
      <c r="F26" s="25"/>
      <c r="G26" s="25"/>
    </row>
    <row r="27" customFormat="false" ht="15" hidden="false" customHeight="false" outlineLevel="0" collapsed="false">
      <c r="A27" s="25"/>
      <c r="B27" s="26"/>
      <c r="C27" s="25"/>
      <c r="D27" s="25"/>
      <c r="E27" s="25"/>
      <c r="F27" s="25"/>
      <c r="G27" s="25"/>
    </row>
    <row r="28" customFormat="false" ht="15" hidden="false" customHeight="false" outlineLevel="0" collapsed="false">
      <c r="A28" s="25"/>
      <c r="B28" s="26"/>
      <c r="C28" s="25"/>
      <c r="D28" s="25"/>
      <c r="E28" s="25"/>
      <c r="F28" s="25"/>
      <c r="G28" s="25"/>
    </row>
    <row r="29" customFormat="false" ht="15" hidden="false" customHeight="false" outlineLevel="0" collapsed="false">
      <c r="A29" s="25"/>
      <c r="B29" s="26"/>
      <c r="C29" s="25"/>
      <c r="D29" s="25"/>
      <c r="E29" s="25"/>
      <c r="F29" s="25"/>
      <c r="G29" s="25"/>
    </row>
    <row r="30" customFormat="false" ht="15" hidden="false" customHeight="false" outlineLevel="0" collapsed="false">
      <c r="A30" s="25"/>
      <c r="B30" s="26"/>
      <c r="C30" s="25"/>
      <c r="D30" s="25"/>
      <c r="E30" s="25"/>
      <c r="F30" s="25"/>
      <c r="G30" s="25"/>
    </row>
    <row r="31" customFormat="false" ht="15" hidden="false" customHeight="false" outlineLevel="0" collapsed="false">
      <c r="A31" s="25"/>
      <c r="B31" s="26"/>
      <c r="C31" s="25"/>
      <c r="D31" s="25"/>
      <c r="E31" s="25"/>
      <c r="F31" s="25"/>
      <c r="G31" s="25"/>
    </row>
    <row r="32" customFormat="false" ht="15" hidden="false" customHeight="false" outlineLevel="0" collapsed="false">
      <c r="A32" s="25"/>
      <c r="B32" s="26"/>
      <c r="C32" s="25"/>
      <c r="D32" s="25"/>
      <c r="E32" s="25"/>
      <c r="F32" s="25"/>
      <c r="G32" s="25"/>
    </row>
    <row r="33" customFormat="false" ht="15" hidden="false" customHeight="false" outlineLevel="0" collapsed="false">
      <c r="A33" s="25"/>
      <c r="B33" s="26"/>
      <c r="C33" s="25"/>
      <c r="D33" s="25"/>
      <c r="E33" s="25"/>
      <c r="F33" s="25"/>
      <c r="G33" s="25"/>
    </row>
    <row r="34" customFormat="false" ht="15" hidden="false" customHeight="false" outlineLevel="0" collapsed="false">
      <c r="A34" s="25"/>
      <c r="B34" s="26"/>
      <c r="C34" s="25"/>
      <c r="D34" s="25"/>
      <c r="E34" s="25"/>
      <c r="F34" s="25"/>
      <c r="G34" s="25"/>
    </row>
    <row r="35" customFormat="false" ht="15" hidden="false" customHeight="false" outlineLevel="0" collapsed="false">
      <c r="A35" s="25"/>
      <c r="B35" s="26"/>
      <c r="C35" s="25"/>
      <c r="D35" s="25"/>
      <c r="E35" s="25"/>
      <c r="F35" s="25"/>
      <c r="G35" s="25"/>
    </row>
    <row r="36" customFormat="false" ht="15" hidden="false" customHeight="false" outlineLevel="0" collapsed="false">
      <c r="A36" s="25"/>
      <c r="B36" s="26"/>
      <c r="C36" s="25"/>
      <c r="D36" s="25"/>
      <c r="E36" s="25"/>
      <c r="F36" s="25"/>
      <c r="G36" s="25"/>
    </row>
    <row r="37" customFormat="false" ht="15" hidden="false" customHeight="false" outlineLevel="0" collapsed="false">
      <c r="A37" s="25"/>
      <c r="B37" s="26"/>
      <c r="C37" s="25"/>
      <c r="D37" s="25"/>
      <c r="E37" s="25"/>
      <c r="F37" s="25"/>
      <c r="G37" s="25"/>
    </row>
    <row r="38" customFormat="false" ht="15" hidden="false" customHeight="false" outlineLevel="0" collapsed="false">
      <c r="A38" s="25"/>
      <c r="B38" s="26"/>
      <c r="C38" s="25"/>
      <c r="D38" s="25"/>
      <c r="E38" s="25"/>
      <c r="F38" s="25"/>
      <c r="G38" s="25"/>
    </row>
    <row r="39" customFormat="false" ht="15" hidden="false" customHeight="false" outlineLevel="0" collapsed="false">
      <c r="A39" s="25"/>
      <c r="B39" s="26"/>
      <c r="C39" s="25"/>
      <c r="D39" s="25"/>
      <c r="E39" s="25"/>
      <c r="F39" s="25"/>
      <c r="G39" s="25"/>
    </row>
    <row r="40" customFormat="false" ht="15" hidden="false" customHeight="false" outlineLevel="0" collapsed="false">
      <c r="A40" s="25"/>
      <c r="B40" s="26"/>
      <c r="C40" s="25"/>
      <c r="D40" s="25"/>
      <c r="E40" s="25"/>
      <c r="F40" s="25"/>
      <c r="G40" s="2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20"/>
    <col collapsed="false" customWidth="true" hidden="false" outlineLevel="0" max="4" min="4" style="0" width="18"/>
    <col collapsed="false" customWidth="true" hidden="false" outlineLevel="0" max="5" min="5" style="0" width="13"/>
    <col collapsed="false" customWidth="true" hidden="false" outlineLevel="0" max="7" min="6" style="0" width="38"/>
    <col collapsed="false" customWidth="true" hidden="false" outlineLevel="0" max="8" min="8" style="0" width="13"/>
  </cols>
  <sheetData>
    <row r="1" customFormat="false" ht="15" hidden="false" customHeight="false" outlineLevel="0" collapsed="false">
      <c r="A1" s="9" t="s">
        <v>139</v>
      </c>
    </row>
    <row r="2" customFormat="false" ht="31.5" hidden="false" customHeight="true" outlineLevel="0" collapsed="false">
      <c r="A2" s="16" t="s">
        <v>40</v>
      </c>
      <c r="B2" s="16" t="s">
        <v>17</v>
      </c>
      <c r="C2" s="16" t="s">
        <v>140</v>
      </c>
      <c r="D2" s="16" t="s">
        <v>141</v>
      </c>
      <c r="E2" s="16" t="s">
        <v>142</v>
      </c>
      <c r="F2" s="16" t="s">
        <v>143</v>
      </c>
      <c r="G2" s="16" t="s">
        <v>144</v>
      </c>
      <c r="H2" s="16" t="s">
        <v>145</v>
      </c>
    </row>
    <row r="3" customFormat="false" ht="15" hidden="false" customHeight="false" outlineLevel="0" collapsed="false">
      <c r="A3" s="24" t="n">
        <f aca="false">DATE(2026,12,5)</f>
        <v>46361</v>
      </c>
      <c r="B3" s="23" t="s">
        <v>27</v>
      </c>
      <c r="C3" s="23" t="s">
        <v>146</v>
      </c>
      <c r="D3" s="23" t="s">
        <v>147</v>
      </c>
      <c r="E3" s="23" t="s">
        <v>148</v>
      </c>
      <c r="F3" s="23" t="s">
        <v>149</v>
      </c>
      <c r="G3" s="23" t="s">
        <v>150</v>
      </c>
      <c r="H3" s="23" t="s">
        <v>151</v>
      </c>
    </row>
    <row r="4" customFormat="false" ht="15" hidden="false" customHeight="false" outlineLevel="0" collapsed="false">
      <c r="A4" s="26"/>
      <c r="B4" s="25"/>
      <c r="C4" s="25"/>
      <c r="D4" s="25"/>
      <c r="E4" s="25"/>
      <c r="F4" s="25"/>
      <c r="G4" s="25"/>
      <c r="H4" s="25"/>
    </row>
    <row r="5" customFormat="false" ht="15" hidden="false" customHeight="false" outlineLevel="0" collapsed="false">
      <c r="A5" s="26"/>
      <c r="B5" s="25"/>
      <c r="C5" s="25"/>
      <c r="D5" s="25"/>
      <c r="E5" s="25"/>
      <c r="F5" s="25"/>
      <c r="G5" s="25"/>
      <c r="H5" s="25"/>
    </row>
    <row r="6" customFormat="false" ht="15" hidden="false" customHeight="false" outlineLevel="0" collapsed="false">
      <c r="A6" s="26"/>
      <c r="B6" s="25"/>
      <c r="C6" s="25"/>
      <c r="D6" s="25"/>
      <c r="E6" s="25"/>
      <c r="F6" s="25"/>
      <c r="G6" s="25"/>
      <c r="H6" s="25"/>
    </row>
    <row r="7" customFormat="false" ht="15" hidden="false" customHeight="false" outlineLevel="0" collapsed="false">
      <c r="A7" s="26"/>
      <c r="B7" s="25"/>
      <c r="C7" s="25"/>
      <c r="D7" s="25"/>
      <c r="E7" s="25"/>
      <c r="F7" s="25"/>
      <c r="G7" s="25"/>
      <c r="H7" s="25"/>
    </row>
    <row r="8" customFormat="false" ht="15" hidden="false" customHeight="false" outlineLevel="0" collapsed="false">
      <c r="A8" s="26"/>
      <c r="B8" s="25"/>
      <c r="C8" s="25"/>
      <c r="D8" s="25"/>
      <c r="E8" s="25"/>
      <c r="F8" s="25"/>
      <c r="G8" s="25"/>
      <c r="H8" s="25"/>
    </row>
    <row r="9" customFormat="false" ht="15" hidden="false" customHeight="false" outlineLevel="0" collapsed="false">
      <c r="A9" s="26"/>
      <c r="B9" s="25"/>
      <c r="C9" s="25"/>
      <c r="D9" s="25"/>
      <c r="E9" s="25"/>
      <c r="F9" s="25"/>
      <c r="G9" s="25"/>
      <c r="H9" s="25"/>
    </row>
    <row r="10" customFormat="false" ht="15" hidden="false" customHeight="false" outlineLevel="0" collapsed="false">
      <c r="A10" s="26"/>
      <c r="B10" s="25"/>
      <c r="C10" s="25"/>
      <c r="D10" s="25"/>
      <c r="E10" s="25"/>
      <c r="F10" s="25"/>
      <c r="G10" s="25"/>
      <c r="H10" s="25"/>
    </row>
    <row r="11" customFormat="false" ht="15" hidden="false" customHeight="false" outlineLevel="0" collapsed="false">
      <c r="A11" s="26"/>
      <c r="B11" s="25"/>
      <c r="C11" s="25"/>
      <c r="D11" s="25"/>
      <c r="E11" s="25"/>
      <c r="F11" s="25"/>
      <c r="G11" s="25"/>
      <c r="H11" s="25"/>
    </row>
    <row r="12" customFormat="false" ht="15" hidden="false" customHeight="false" outlineLevel="0" collapsed="false">
      <c r="A12" s="26"/>
      <c r="B12" s="25"/>
      <c r="C12" s="25"/>
      <c r="D12" s="25"/>
      <c r="E12" s="25"/>
      <c r="F12" s="25"/>
      <c r="G12" s="25"/>
      <c r="H12" s="25"/>
    </row>
    <row r="13" customFormat="false" ht="15" hidden="false" customHeight="false" outlineLevel="0" collapsed="false">
      <c r="A13" s="26"/>
      <c r="B13" s="25"/>
      <c r="C13" s="25"/>
      <c r="D13" s="25"/>
      <c r="E13" s="25"/>
      <c r="F13" s="25"/>
      <c r="G13" s="25"/>
      <c r="H13" s="25"/>
    </row>
    <row r="14" customFormat="false" ht="15" hidden="false" customHeight="false" outlineLevel="0" collapsed="false">
      <c r="A14" s="26"/>
      <c r="B14" s="25"/>
      <c r="C14" s="25"/>
      <c r="D14" s="25"/>
      <c r="E14" s="25"/>
      <c r="F14" s="25"/>
      <c r="G14" s="25"/>
      <c r="H14" s="25"/>
    </row>
    <row r="15" customFormat="false" ht="15" hidden="false" customHeight="false" outlineLevel="0" collapsed="false">
      <c r="A15" s="26"/>
      <c r="B15" s="25"/>
      <c r="C15" s="25"/>
      <c r="D15" s="25"/>
      <c r="E15" s="25"/>
      <c r="F15" s="25"/>
      <c r="G15" s="25"/>
      <c r="H15" s="25"/>
    </row>
    <row r="16" customFormat="false" ht="15" hidden="false" customHeight="false" outlineLevel="0" collapsed="false">
      <c r="A16" s="26"/>
      <c r="B16" s="25"/>
      <c r="C16" s="25"/>
      <c r="D16" s="25"/>
      <c r="E16" s="25"/>
      <c r="F16" s="25"/>
      <c r="G16" s="25"/>
      <c r="H16" s="25"/>
    </row>
    <row r="17" customFormat="false" ht="15" hidden="false" customHeight="false" outlineLevel="0" collapsed="false">
      <c r="A17" s="26"/>
      <c r="B17" s="25"/>
      <c r="C17" s="25"/>
      <c r="D17" s="25"/>
      <c r="E17" s="25"/>
      <c r="F17" s="25"/>
      <c r="G17" s="25"/>
      <c r="H17" s="25"/>
    </row>
    <row r="18" customFormat="false" ht="15" hidden="false" customHeight="false" outlineLevel="0" collapsed="false">
      <c r="A18" s="26"/>
      <c r="B18" s="25"/>
      <c r="C18" s="25"/>
      <c r="D18" s="25"/>
      <c r="E18" s="25"/>
      <c r="F18" s="25"/>
      <c r="G18" s="25"/>
      <c r="H18" s="25"/>
    </row>
    <row r="19" customFormat="false" ht="15" hidden="false" customHeight="false" outlineLevel="0" collapsed="false">
      <c r="A19" s="26"/>
      <c r="B19" s="25"/>
      <c r="C19" s="25"/>
      <c r="D19" s="25"/>
      <c r="E19" s="25"/>
      <c r="F19" s="25"/>
      <c r="G19" s="25"/>
      <c r="H19" s="25"/>
    </row>
    <row r="20" customFormat="false" ht="15" hidden="false" customHeight="false" outlineLevel="0" collapsed="false">
      <c r="A20" s="26"/>
      <c r="B20" s="25"/>
      <c r="C20" s="25"/>
      <c r="D20" s="25"/>
      <c r="E20" s="25"/>
      <c r="F20" s="25"/>
      <c r="G20" s="25"/>
      <c r="H20" s="25"/>
    </row>
    <row r="21" customFormat="false" ht="15" hidden="false" customHeight="false" outlineLevel="0" collapsed="false">
      <c r="A21" s="26"/>
      <c r="B21" s="25"/>
      <c r="C21" s="25"/>
      <c r="D21" s="25"/>
      <c r="E21" s="25"/>
      <c r="F21" s="25"/>
      <c r="G21" s="25"/>
      <c r="H21" s="25"/>
    </row>
    <row r="22" customFormat="false" ht="15" hidden="false" customHeight="false" outlineLevel="0" collapsed="false">
      <c r="A22" s="26"/>
      <c r="B22" s="25"/>
      <c r="C22" s="25"/>
      <c r="D22" s="25"/>
      <c r="E22" s="25"/>
      <c r="F22" s="25"/>
      <c r="G22" s="25"/>
      <c r="H22" s="25"/>
    </row>
    <row r="23" customFormat="false" ht="15" hidden="false" customHeight="false" outlineLevel="0" collapsed="false">
      <c r="A23" s="26"/>
      <c r="B23" s="25"/>
      <c r="C23" s="25"/>
      <c r="D23" s="25"/>
      <c r="E23" s="25"/>
      <c r="F23" s="25"/>
      <c r="G23" s="25"/>
      <c r="H23" s="25"/>
    </row>
    <row r="24" customFormat="false" ht="15" hidden="false" customHeight="false" outlineLevel="0" collapsed="false">
      <c r="A24" s="26"/>
      <c r="B24" s="25"/>
      <c r="C24" s="25"/>
      <c r="D24" s="25"/>
      <c r="E24" s="25"/>
      <c r="F24" s="25"/>
      <c r="G24" s="25"/>
      <c r="H24" s="25"/>
    </row>
    <row r="25" customFormat="false" ht="15" hidden="false" customHeight="false" outlineLevel="0" collapsed="false">
      <c r="A25" s="26"/>
      <c r="B25" s="25"/>
      <c r="C25" s="25"/>
      <c r="D25" s="25"/>
      <c r="E25" s="25"/>
      <c r="F25" s="25"/>
      <c r="G25" s="25"/>
      <c r="H25" s="25"/>
    </row>
    <row r="26" customFormat="false" ht="15" hidden="false" customHeight="false" outlineLevel="0" collapsed="false">
      <c r="A26" s="26"/>
      <c r="B26" s="25"/>
      <c r="C26" s="25"/>
      <c r="D26" s="25"/>
      <c r="E26" s="25"/>
      <c r="F26" s="25"/>
      <c r="G26" s="25"/>
      <c r="H26" s="25"/>
    </row>
    <row r="27" customFormat="false" ht="15" hidden="false" customHeight="false" outlineLevel="0" collapsed="false">
      <c r="A27" s="26"/>
      <c r="B27" s="25"/>
      <c r="C27" s="25"/>
      <c r="D27" s="25"/>
      <c r="E27" s="25"/>
      <c r="F27" s="25"/>
      <c r="G27" s="25"/>
      <c r="H27" s="25"/>
    </row>
    <row r="28" customFormat="false" ht="15" hidden="false" customHeight="false" outlineLevel="0" collapsed="false">
      <c r="A28" s="26"/>
      <c r="B28" s="25"/>
      <c r="C28" s="25"/>
      <c r="D28" s="25"/>
      <c r="E28" s="25"/>
      <c r="F28" s="25"/>
      <c r="G28" s="25"/>
      <c r="H28" s="25"/>
    </row>
    <row r="29" customFormat="false" ht="15" hidden="false" customHeight="false" outlineLevel="0" collapsed="false">
      <c r="A29" s="26"/>
      <c r="B29" s="25"/>
      <c r="C29" s="25"/>
      <c r="D29" s="25"/>
      <c r="E29" s="25"/>
      <c r="F29" s="25"/>
      <c r="G29" s="25"/>
      <c r="H29" s="25"/>
    </row>
    <row r="30" customFormat="false" ht="15" hidden="false" customHeight="false" outlineLevel="0" collapsed="false">
      <c r="A30" s="26"/>
      <c r="B30" s="25"/>
      <c r="C30" s="25"/>
      <c r="D30" s="25"/>
      <c r="E30" s="25"/>
      <c r="F30" s="25"/>
      <c r="G30" s="25"/>
      <c r="H30" s="25"/>
    </row>
    <row r="31" customFormat="false" ht="15" hidden="false" customHeight="false" outlineLevel="0" collapsed="false">
      <c r="A31" s="26"/>
      <c r="B31" s="25"/>
      <c r="C31" s="25"/>
      <c r="D31" s="25"/>
      <c r="E31" s="25"/>
      <c r="F31" s="25"/>
      <c r="G31" s="25"/>
      <c r="H31" s="25"/>
    </row>
    <row r="32" customFormat="false" ht="15" hidden="false" customHeight="false" outlineLevel="0" collapsed="false">
      <c r="A32" s="26"/>
      <c r="B32" s="25"/>
      <c r="C32" s="25"/>
      <c r="D32" s="25"/>
      <c r="E32" s="25"/>
      <c r="F32" s="25"/>
      <c r="G32" s="25"/>
      <c r="H32" s="25"/>
    </row>
    <row r="33" customFormat="false" ht="15" hidden="false" customHeight="false" outlineLevel="0" collapsed="false">
      <c r="A33" s="26"/>
      <c r="B33" s="25"/>
      <c r="C33" s="25"/>
      <c r="D33" s="25"/>
      <c r="E33" s="25"/>
      <c r="F33" s="25"/>
      <c r="G33" s="25"/>
      <c r="H33" s="25"/>
    </row>
    <row r="34" customFormat="false" ht="15" hidden="false" customHeight="false" outlineLevel="0" collapsed="false">
      <c r="A34" s="26"/>
      <c r="B34" s="25"/>
      <c r="C34" s="25"/>
      <c r="D34" s="25"/>
      <c r="E34" s="25"/>
      <c r="F34" s="25"/>
      <c r="G34" s="25"/>
      <c r="H34" s="25"/>
    </row>
    <row r="35" customFormat="false" ht="15" hidden="false" customHeight="false" outlineLevel="0" collapsed="false">
      <c r="A35" s="26"/>
      <c r="B35" s="25"/>
      <c r="C35" s="25"/>
      <c r="D35" s="25"/>
      <c r="E35" s="25"/>
      <c r="F35" s="25"/>
      <c r="G35" s="25"/>
      <c r="H35" s="25"/>
    </row>
    <row r="36" customFormat="false" ht="15" hidden="false" customHeight="false" outlineLevel="0" collapsed="false">
      <c r="A36" s="26"/>
      <c r="B36" s="25"/>
      <c r="C36" s="25"/>
      <c r="D36" s="25"/>
      <c r="E36" s="25"/>
      <c r="F36" s="25"/>
      <c r="G36" s="25"/>
      <c r="H36" s="25"/>
    </row>
    <row r="37" customFormat="false" ht="15" hidden="false" customHeight="false" outlineLevel="0" collapsed="false">
      <c r="A37" s="26"/>
      <c r="B37" s="25"/>
      <c r="C37" s="25"/>
      <c r="D37" s="25"/>
      <c r="E37" s="25"/>
      <c r="F37" s="25"/>
      <c r="G37" s="25"/>
      <c r="H37" s="25"/>
    </row>
    <row r="38" customFormat="false" ht="15" hidden="false" customHeight="false" outlineLevel="0" collapsed="false">
      <c r="A38" s="26"/>
      <c r="B38" s="25"/>
      <c r="C38" s="25"/>
      <c r="D38" s="25"/>
      <c r="E38" s="25"/>
      <c r="F38" s="25"/>
      <c r="G38" s="25"/>
      <c r="H38" s="25"/>
    </row>
    <row r="39" customFormat="false" ht="15" hidden="false" customHeight="false" outlineLevel="0" collapsed="false">
      <c r="A39" s="26"/>
      <c r="B39" s="25"/>
      <c r="C39" s="25"/>
      <c r="D39" s="25"/>
      <c r="E39" s="25"/>
      <c r="F39" s="25"/>
      <c r="G39" s="25"/>
      <c r="H39" s="25"/>
    </row>
    <row r="40" customFormat="false" ht="15" hidden="false" customHeight="false" outlineLevel="0" collapsed="false">
      <c r="A40" s="26"/>
      <c r="B40" s="25"/>
      <c r="C40" s="25"/>
      <c r="D40" s="25"/>
      <c r="E40" s="25"/>
      <c r="F40" s="25"/>
      <c r="G40" s="25"/>
      <c r="H40" s="25"/>
    </row>
    <row r="41" customFormat="false" ht="15" hidden="false" customHeight="false" outlineLevel="0" collapsed="false">
      <c r="A41" s="26"/>
      <c r="B41" s="25"/>
      <c r="C41" s="25"/>
      <c r="D41" s="25"/>
      <c r="E41" s="25"/>
      <c r="F41" s="25"/>
      <c r="G41" s="25"/>
      <c r="H41" s="25"/>
    </row>
    <row r="42" customFormat="false" ht="15" hidden="false" customHeight="false" outlineLevel="0" collapsed="false">
      <c r="A42" s="26"/>
      <c r="B42" s="25"/>
      <c r="C42" s="25"/>
      <c r="D42" s="25"/>
      <c r="E42" s="25"/>
      <c r="F42" s="25"/>
      <c r="G42" s="25"/>
      <c r="H42" s="25"/>
    </row>
    <row r="43" customFormat="false" ht="15" hidden="false" customHeight="false" outlineLevel="0" collapsed="false">
      <c r="A43" s="26"/>
      <c r="B43" s="25"/>
      <c r="C43" s="25"/>
      <c r="D43" s="25"/>
      <c r="E43" s="25"/>
      <c r="F43" s="25"/>
      <c r="G43" s="25"/>
      <c r="H43" s="25"/>
    </row>
    <row r="44" customFormat="false" ht="15" hidden="false" customHeight="false" outlineLevel="0" collapsed="false">
      <c r="A44" s="26"/>
      <c r="B44" s="25"/>
      <c r="C44" s="25"/>
      <c r="D44" s="25"/>
      <c r="E44" s="25"/>
      <c r="F44" s="25"/>
      <c r="G44" s="25"/>
      <c r="H44" s="25"/>
    </row>
    <row r="45" customFormat="false" ht="15" hidden="false" customHeight="false" outlineLevel="0" collapsed="false">
      <c r="A45" s="26"/>
      <c r="B45" s="25"/>
      <c r="C45" s="25"/>
      <c r="D45" s="25"/>
      <c r="E45" s="25"/>
      <c r="F45" s="25"/>
      <c r="G45" s="25"/>
      <c r="H45" s="25"/>
    </row>
    <row r="46" customFormat="false" ht="15" hidden="false" customHeight="false" outlineLevel="0" collapsed="false">
      <c r="A46" s="26"/>
      <c r="B46" s="25"/>
      <c r="C46" s="25"/>
      <c r="D46" s="25"/>
      <c r="E46" s="25"/>
      <c r="F46" s="25"/>
      <c r="G46" s="25"/>
      <c r="H46" s="25"/>
    </row>
    <row r="47" customFormat="false" ht="15" hidden="false" customHeight="false" outlineLevel="0" collapsed="false">
      <c r="A47" s="26"/>
      <c r="B47" s="25"/>
      <c r="C47" s="25"/>
      <c r="D47" s="25"/>
      <c r="E47" s="25"/>
      <c r="F47" s="25"/>
      <c r="G47" s="25"/>
      <c r="H47" s="25"/>
    </row>
    <row r="48" customFormat="false" ht="15" hidden="false" customHeight="false" outlineLevel="0" collapsed="false">
      <c r="A48" s="26"/>
      <c r="B48" s="25"/>
      <c r="C48" s="25"/>
      <c r="D48" s="25"/>
      <c r="E48" s="25"/>
      <c r="F48" s="25"/>
      <c r="G48" s="25"/>
      <c r="H48" s="25"/>
    </row>
    <row r="49" customFormat="false" ht="15" hidden="false" customHeight="false" outlineLevel="0" collapsed="false">
      <c r="A49" s="26"/>
      <c r="B49" s="25"/>
      <c r="C49" s="25"/>
      <c r="D49" s="25"/>
      <c r="E49" s="25"/>
      <c r="F49" s="25"/>
      <c r="G49" s="25"/>
      <c r="H49" s="25"/>
    </row>
    <row r="50" customFormat="false" ht="15" hidden="false" customHeight="false" outlineLevel="0" collapsed="false">
      <c r="A50" s="26"/>
      <c r="B50" s="25"/>
      <c r="C50" s="25"/>
      <c r="D50" s="25"/>
      <c r="E50" s="25"/>
      <c r="F50" s="25"/>
      <c r="G50" s="25"/>
      <c r="H50" s="25"/>
    </row>
    <row r="51" customFormat="false" ht="15" hidden="false" customHeight="false" outlineLevel="0" collapsed="false">
      <c r="A51" s="26"/>
      <c r="B51" s="25"/>
      <c r="C51" s="25"/>
      <c r="D51" s="25"/>
      <c r="E51" s="25"/>
      <c r="F51" s="25"/>
      <c r="G51" s="25"/>
      <c r="H51" s="25"/>
    </row>
    <row r="52" customFormat="false" ht="15" hidden="false" customHeight="false" outlineLevel="0" collapsed="false">
      <c r="A52" s="26"/>
      <c r="B52" s="25"/>
      <c r="C52" s="25"/>
      <c r="D52" s="25"/>
      <c r="E52" s="25"/>
      <c r="F52" s="25"/>
      <c r="G52" s="25"/>
      <c r="H52" s="25"/>
    </row>
    <row r="53" customFormat="false" ht="15" hidden="false" customHeight="false" outlineLevel="0" collapsed="false">
      <c r="A53" s="26"/>
      <c r="B53" s="25"/>
      <c r="C53" s="25"/>
      <c r="D53" s="25"/>
      <c r="E53" s="25"/>
      <c r="F53" s="25"/>
      <c r="G53" s="25"/>
      <c r="H53" s="25"/>
    </row>
    <row r="54" customFormat="false" ht="15" hidden="false" customHeight="false" outlineLevel="0" collapsed="false">
      <c r="A54" s="26"/>
      <c r="B54" s="25"/>
      <c r="C54" s="25"/>
      <c r="D54" s="25"/>
      <c r="E54" s="25"/>
      <c r="F54" s="25"/>
      <c r="G54" s="25"/>
      <c r="H54" s="25"/>
    </row>
    <row r="55" customFormat="false" ht="15" hidden="false" customHeight="false" outlineLevel="0" collapsed="false">
      <c r="A55" s="26"/>
      <c r="B55" s="25"/>
      <c r="C55" s="25"/>
      <c r="D55" s="25"/>
      <c r="E55" s="25"/>
      <c r="F55" s="25"/>
      <c r="G55" s="25"/>
      <c r="H55" s="25"/>
    </row>
    <row r="56" customFormat="false" ht="15" hidden="false" customHeight="false" outlineLevel="0" collapsed="false">
      <c r="A56" s="26"/>
      <c r="B56" s="25"/>
      <c r="C56" s="25"/>
      <c r="D56" s="25"/>
      <c r="E56" s="25"/>
      <c r="F56" s="25"/>
      <c r="G56" s="25"/>
      <c r="H56" s="25"/>
    </row>
    <row r="57" customFormat="false" ht="15" hidden="false" customHeight="false" outlineLevel="0" collapsed="false">
      <c r="A57" s="26"/>
      <c r="B57" s="25"/>
      <c r="C57" s="25"/>
      <c r="D57" s="25"/>
      <c r="E57" s="25"/>
      <c r="F57" s="25"/>
      <c r="G57" s="25"/>
      <c r="H57" s="25"/>
    </row>
    <row r="58" customFormat="false" ht="15" hidden="false" customHeight="false" outlineLevel="0" collapsed="false">
      <c r="A58" s="26"/>
      <c r="B58" s="25"/>
      <c r="C58" s="25"/>
      <c r="D58" s="25"/>
      <c r="E58" s="25"/>
      <c r="F58" s="25"/>
      <c r="G58" s="25"/>
      <c r="H58" s="25"/>
    </row>
    <row r="59" customFormat="false" ht="15" hidden="false" customHeight="false" outlineLevel="0" collapsed="false">
      <c r="A59" s="26"/>
      <c r="B59" s="25"/>
      <c r="C59" s="25"/>
      <c r="D59" s="25"/>
      <c r="E59" s="25"/>
      <c r="F59" s="25"/>
      <c r="G59" s="25"/>
      <c r="H59" s="25"/>
    </row>
    <row r="60" customFormat="false" ht="15" hidden="false" customHeight="false" outlineLevel="0" collapsed="false">
      <c r="A60" s="26"/>
      <c r="B60" s="25"/>
      <c r="C60" s="25"/>
      <c r="D60" s="25"/>
      <c r="E60" s="25"/>
      <c r="F60" s="25"/>
      <c r="G60" s="25"/>
      <c r="H60" s="25"/>
    </row>
    <row r="61" customFormat="false" ht="15" hidden="false" customHeight="false" outlineLevel="0" collapsed="false">
      <c r="A61" s="26"/>
      <c r="B61" s="25"/>
      <c r="C61" s="25"/>
      <c r="D61" s="25"/>
      <c r="E61" s="25"/>
      <c r="F61" s="25"/>
      <c r="G61" s="25"/>
      <c r="H61" s="25"/>
    </row>
    <row r="62" customFormat="false" ht="15" hidden="false" customHeight="false" outlineLevel="0" collapsed="false">
      <c r="A62" s="26"/>
      <c r="B62" s="25"/>
      <c r="C62" s="25"/>
      <c r="D62" s="25"/>
      <c r="E62" s="25"/>
      <c r="F62" s="25"/>
      <c r="G62" s="25"/>
      <c r="H62" s="25"/>
    </row>
    <row r="63" customFormat="false" ht="15" hidden="false" customHeight="false" outlineLevel="0" collapsed="false">
      <c r="A63" s="26"/>
      <c r="B63" s="25"/>
      <c r="C63" s="25"/>
      <c r="D63" s="25"/>
      <c r="E63" s="25"/>
      <c r="F63" s="25"/>
      <c r="G63" s="25"/>
      <c r="H63" s="25"/>
    </row>
    <row r="64" customFormat="false" ht="15" hidden="false" customHeight="false" outlineLevel="0" collapsed="false">
      <c r="A64" s="26"/>
      <c r="B64" s="25"/>
      <c r="C64" s="25"/>
      <c r="D64" s="25"/>
      <c r="E64" s="25"/>
      <c r="F64" s="25"/>
      <c r="G64" s="25"/>
      <c r="H64" s="25"/>
    </row>
    <row r="65" customFormat="false" ht="15" hidden="false" customHeight="false" outlineLevel="0" collapsed="false">
      <c r="A65" s="26"/>
      <c r="B65" s="25"/>
      <c r="C65" s="25"/>
      <c r="D65" s="25"/>
      <c r="E65" s="25"/>
      <c r="F65" s="25"/>
      <c r="G65" s="25"/>
      <c r="H65" s="25"/>
    </row>
    <row r="66" customFormat="false" ht="15" hidden="false" customHeight="false" outlineLevel="0" collapsed="false">
      <c r="A66" s="26"/>
      <c r="B66" s="25"/>
      <c r="C66" s="25"/>
      <c r="D66" s="25"/>
      <c r="E66" s="25"/>
      <c r="F66" s="25"/>
      <c r="G66" s="25"/>
      <c r="H66" s="25"/>
    </row>
    <row r="67" customFormat="false" ht="15" hidden="false" customHeight="false" outlineLevel="0" collapsed="false">
      <c r="A67" s="26"/>
      <c r="B67" s="25"/>
      <c r="C67" s="25"/>
      <c r="D67" s="25"/>
      <c r="E67" s="25"/>
      <c r="F67" s="25"/>
      <c r="G67" s="25"/>
      <c r="H67" s="25"/>
    </row>
    <row r="68" customFormat="false" ht="15" hidden="false" customHeight="false" outlineLevel="0" collapsed="false">
      <c r="A68" s="26"/>
      <c r="B68" s="25"/>
      <c r="C68" s="25"/>
      <c r="D68" s="25"/>
      <c r="E68" s="25"/>
      <c r="F68" s="25"/>
      <c r="G68" s="25"/>
      <c r="H68" s="25"/>
    </row>
    <row r="69" customFormat="false" ht="15" hidden="false" customHeight="false" outlineLevel="0" collapsed="false">
      <c r="A69" s="26"/>
      <c r="B69" s="25"/>
      <c r="C69" s="25"/>
      <c r="D69" s="25"/>
      <c r="E69" s="25"/>
      <c r="F69" s="25"/>
      <c r="G69" s="25"/>
      <c r="H69" s="25"/>
    </row>
    <row r="70" customFormat="false" ht="15" hidden="false" customHeight="false" outlineLevel="0" collapsed="false">
      <c r="A70" s="26"/>
      <c r="B70" s="25"/>
      <c r="C70" s="25"/>
      <c r="D70" s="25"/>
      <c r="E70" s="25"/>
      <c r="F70" s="25"/>
      <c r="G70" s="25"/>
      <c r="H70" s="25"/>
    </row>
    <row r="71" customFormat="false" ht="15" hidden="false" customHeight="false" outlineLevel="0" collapsed="false">
      <c r="A71" s="26"/>
      <c r="B71" s="25"/>
      <c r="C71" s="25"/>
      <c r="D71" s="25"/>
      <c r="E71" s="25"/>
      <c r="F71" s="25"/>
      <c r="G71" s="25"/>
      <c r="H71" s="25"/>
    </row>
    <row r="72" customFormat="false" ht="15" hidden="false" customHeight="false" outlineLevel="0" collapsed="false">
      <c r="A72" s="26"/>
      <c r="B72" s="25"/>
      <c r="C72" s="25"/>
      <c r="D72" s="25"/>
      <c r="E72" s="25"/>
      <c r="F72" s="25"/>
      <c r="G72" s="25"/>
      <c r="H72" s="25"/>
    </row>
    <row r="73" customFormat="false" ht="15" hidden="false" customHeight="false" outlineLevel="0" collapsed="false">
      <c r="A73" s="26"/>
      <c r="B73" s="25"/>
      <c r="C73" s="25"/>
      <c r="D73" s="25"/>
      <c r="E73" s="25"/>
      <c r="F73" s="25"/>
      <c r="G73" s="25"/>
      <c r="H73" s="25"/>
    </row>
    <row r="74" customFormat="false" ht="15" hidden="false" customHeight="false" outlineLevel="0" collapsed="false">
      <c r="A74" s="26"/>
      <c r="B74" s="25"/>
      <c r="C74" s="25"/>
      <c r="D74" s="25"/>
      <c r="E74" s="25"/>
      <c r="F74" s="25"/>
      <c r="G74" s="25"/>
      <c r="H74" s="25"/>
    </row>
    <row r="75" customFormat="false" ht="15" hidden="false" customHeight="false" outlineLevel="0" collapsed="false">
      <c r="A75" s="26"/>
      <c r="B75" s="25"/>
      <c r="C75" s="25"/>
      <c r="D75" s="25"/>
      <c r="E75" s="25"/>
      <c r="F75" s="25"/>
      <c r="G75" s="25"/>
      <c r="H75" s="25"/>
    </row>
    <row r="76" customFormat="false" ht="15" hidden="false" customHeight="false" outlineLevel="0" collapsed="false">
      <c r="A76" s="26"/>
      <c r="B76" s="25"/>
      <c r="C76" s="25"/>
      <c r="D76" s="25"/>
      <c r="E76" s="25"/>
      <c r="F76" s="25"/>
      <c r="G76" s="25"/>
      <c r="H76" s="25"/>
    </row>
    <row r="77" customFormat="false" ht="15" hidden="false" customHeight="false" outlineLevel="0" collapsed="false">
      <c r="A77" s="26"/>
      <c r="B77" s="25"/>
      <c r="C77" s="25"/>
      <c r="D77" s="25"/>
      <c r="E77" s="25"/>
      <c r="F77" s="25"/>
      <c r="G77" s="25"/>
      <c r="H77" s="25"/>
    </row>
    <row r="78" customFormat="false" ht="15" hidden="false" customHeight="false" outlineLevel="0" collapsed="false">
      <c r="A78" s="26"/>
      <c r="B78" s="25"/>
      <c r="C78" s="25"/>
      <c r="D78" s="25"/>
      <c r="E78" s="25"/>
      <c r="F78" s="25"/>
      <c r="G78" s="25"/>
      <c r="H78" s="25"/>
    </row>
    <row r="79" customFormat="false" ht="15" hidden="false" customHeight="false" outlineLevel="0" collapsed="false">
      <c r="A79" s="26"/>
      <c r="B79" s="25"/>
      <c r="C79" s="25"/>
      <c r="D79" s="25"/>
      <c r="E79" s="25"/>
      <c r="F79" s="25"/>
      <c r="G79" s="25"/>
      <c r="H79" s="25"/>
    </row>
    <row r="80" customFormat="false" ht="15" hidden="false" customHeight="false" outlineLevel="0" collapsed="false">
      <c r="A80" s="26"/>
      <c r="B80" s="25"/>
      <c r="C80" s="25"/>
      <c r="D80" s="25"/>
      <c r="E80" s="25"/>
      <c r="F80" s="25"/>
      <c r="G80" s="25"/>
      <c r="H80" s="25"/>
    </row>
    <row r="81" customFormat="false" ht="15" hidden="false" customHeight="false" outlineLevel="0" collapsed="false">
      <c r="A81" s="26"/>
      <c r="B81" s="25"/>
      <c r="C81" s="25"/>
      <c r="D81" s="25"/>
      <c r="E81" s="25"/>
      <c r="F81" s="25"/>
      <c r="G81" s="25"/>
      <c r="H81" s="25"/>
    </row>
    <row r="82" customFormat="false" ht="15" hidden="false" customHeight="false" outlineLevel="0" collapsed="false">
      <c r="A82" s="26"/>
      <c r="B82" s="25"/>
      <c r="C82" s="25"/>
      <c r="D82" s="25"/>
      <c r="E82" s="25"/>
      <c r="F82" s="25"/>
      <c r="G82" s="25"/>
      <c r="H82" s="25"/>
    </row>
    <row r="83" customFormat="false" ht="15" hidden="false" customHeight="false" outlineLevel="0" collapsed="false">
      <c r="A83" s="26"/>
      <c r="B83" s="25"/>
      <c r="C83" s="25"/>
      <c r="D83" s="25"/>
      <c r="E83" s="25"/>
      <c r="F83" s="25"/>
      <c r="G83" s="25"/>
      <c r="H83" s="25"/>
    </row>
    <row r="84" customFormat="false" ht="15" hidden="false" customHeight="false" outlineLevel="0" collapsed="false">
      <c r="A84" s="26"/>
      <c r="B84" s="25"/>
      <c r="C84" s="25"/>
      <c r="D84" s="25"/>
      <c r="E84" s="25"/>
      <c r="F84" s="25"/>
      <c r="G84" s="25"/>
      <c r="H84" s="25"/>
    </row>
    <row r="85" customFormat="false" ht="15" hidden="false" customHeight="false" outlineLevel="0" collapsed="false">
      <c r="A85" s="26"/>
      <c r="B85" s="25"/>
      <c r="C85" s="25"/>
      <c r="D85" s="25"/>
      <c r="E85" s="25"/>
      <c r="F85" s="25"/>
      <c r="G85" s="25"/>
      <c r="H85" s="25"/>
    </row>
    <row r="86" customFormat="false" ht="15" hidden="false" customHeight="false" outlineLevel="0" collapsed="false">
      <c r="A86" s="26"/>
      <c r="B86" s="25"/>
      <c r="C86" s="25"/>
      <c r="D86" s="25"/>
      <c r="E86" s="25"/>
      <c r="F86" s="25"/>
      <c r="G86" s="25"/>
      <c r="H86" s="25"/>
    </row>
    <row r="87" customFormat="false" ht="15" hidden="false" customHeight="false" outlineLevel="0" collapsed="false">
      <c r="A87" s="26"/>
      <c r="B87" s="25"/>
      <c r="C87" s="25"/>
      <c r="D87" s="25"/>
      <c r="E87" s="25"/>
      <c r="F87" s="25"/>
      <c r="G87" s="25"/>
      <c r="H87" s="25"/>
    </row>
    <row r="88" customFormat="false" ht="15" hidden="false" customHeight="false" outlineLevel="0" collapsed="false">
      <c r="A88" s="26"/>
      <c r="B88" s="25"/>
      <c r="C88" s="25"/>
      <c r="D88" s="25"/>
      <c r="E88" s="25"/>
      <c r="F88" s="25"/>
      <c r="G88" s="25"/>
      <c r="H88" s="25"/>
    </row>
    <row r="89" customFormat="false" ht="15" hidden="false" customHeight="false" outlineLevel="0" collapsed="false">
      <c r="A89" s="26"/>
      <c r="B89" s="25"/>
      <c r="C89" s="25"/>
      <c r="D89" s="25"/>
      <c r="E89" s="25"/>
      <c r="F89" s="25"/>
      <c r="G89" s="25"/>
      <c r="H89" s="25"/>
    </row>
    <row r="90" customFormat="false" ht="15" hidden="false" customHeight="false" outlineLevel="0" collapsed="false">
      <c r="A90" s="26"/>
      <c r="B90" s="25"/>
      <c r="C90" s="25"/>
      <c r="D90" s="25"/>
      <c r="E90" s="25"/>
      <c r="F90" s="25"/>
      <c r="G90" s="25"/>
      <c r="H90" s="25"/>
    </row>
    <row r="91" customFormat="false" ht="15" hidden="false" customHeight="false" outlineLevel="0" collapsed="false">
      <c r="A91" s="26"/>
      <c r="B91" s="25"/>
      <c r="C91" s="25"/>
      <c r="D91" s="25"/>
      <c r="E91" s="25"/>
      <c r="F91" s="25"/>
      <c r="G91" s="25"/>
      <c r="H91" s="25"/>
    </row>
    <row r="92" customFormat="false" ht="15" hidden="false" customHeight="false" outlineLevel="0" collapsed="false">
      <c r="A92" s="26"/>
      <c r="B92" s="25"/>
      <c r="C92" s="25"/>
      <c r="D92" s="25"/>
      <c r="E92" s="25"/>
      <c r="F92" s="25"/>
      <c r="G92" s="25"/>
      <c r="H92" s="25"/>
    </row>
    <row r="93" customFormat="false" ht="15" hidden="false" customHeight="false" outlineLevel="0" collapsed="false">
      <c r="A93" s="26"/>
      <c r="B93" s="25"/>
      <c r="C93" s="25"/>
      <c r="D93" s="25"/>
      <c r="E93" s="25"/>
      <c r="F93" s="25"/>
      <c r="G93" s="25"/>
      <c r="H93" s="25"/>
    </row>
    <row r="94" customFormat="false" ht="15" hidden="false" customHeight="false" outlineLevel="0" collapsed="false">
      <c r="A94" s="26"/>
      <c r="B94" s="25"/>
      <c r="C94" s="25"/>
      <c r="D94" s="25"/>
      <c r="E94" s="25"/>
      <c r="F94" s="25"/>
      <c r="G94" s="25"/>
      <c r="H94" s="25"/>
    </row>
    <row r="95" customFormat="false" ht="15" hidden="false" customHeight="false" outlineLevel="0" collapsed="false">
      <c r="A95" s="26"/>
      <c r="B95" s="25"/>
      <c r="C95" s="25"/>
      <c r="D95" s="25"/>
      <c r="E95" s="25"/>
      <c r="F95" s="25"/>
      <c r="G95" s="25"/>
      <c r="H95" s="25"/>
    </row>
    <row r="96" customFormat="false" ht="15" hidden="false" customHeight="false" outlineLevel="0" collapsed="false">
      <c r="A96" s="26"/>
      <c r="B96" s="25"/>
      <c r="C96" s="25"/>
      <c r="D96" s="25"/>
      <c r="E96" s="25"/>
      <c r="F96" s="25"/>
      <c r="G96" s="25"/>
      <c r="H96" s="25"/>
    </row>
    <row r="97" customFormat="false" ht="15" hidden="false" customHeight="false" outlineLevel="0" collapsed="false">
      <c r="A97" s="26"/>
      <c r="B97" s="25"/>
      <c r="C97" s="25"/>
      <c r="D97" s="25"/>
      <c r="E97" s="25"/>
      <c r="F97" s="25"/>
      <c r="G97" s="25"/>
      <c r="H97" s="25"/>
    </row>
    <row r="98" customFormat="false" ht="15" hidden="false" customHeight="false" outlineLevel="0" collapsed="false">
      <c r="A98" s="26"/>
      <c r="B98" s="25"/>
      <c r="C98" s="25"/>
      <c r="D98" s="25"/>
      <c r="E98" s="25"/>
      <c r="F98" s="25"/>
      <c r="G98" s="25"/>
      <c r="H98" s="25"/>
    </row>
    <row r="99" customFormat="false" ht="15" hidden="false" customHeight="false" outlineLevel="0" collapsed="false">
      <c r="A99" s="26"/>
      <c r="B99" s="25"/>
      <c r="C99" s="25"/>
      <c r="D99" s="25"/>
      <c r="E99" s="25"/>
      <c r="F99" s="25"/>
      <c r="G99" s="25"/>
      <c r="H99" s="25"/>
    </row>
    <row r="100" customFormat="false" ht="15" hidden="false" customHeight="false" outlineLevel="0" collapsed="false">
      <c r="A100" s="26"/>
      <c r="B100" s="25"/>
      <c r="C100" s="25"/>
      <c r="D100" s="25"/>
      <c r="E100" s="25"/>
      <c r="F100" s="25"/>
      <c r="G100" s="25"/>
      <c r="H100" s="25"/>
    </row>
    <row r="101" customFormat="false" ht="15" hidden="false" customHeight="false" outlineLevel="0" collapsed="false">
      <c r="A101" s="26"/>
      <c r="B101" s="25"/>
      <c r="C101" s="25"/>
      <c r="D101" s="25"/>
      <c r="E101" s="25"/>
      <c r="F101" s="25"/>
      <c r="G101" s="25"/>
      <c r="H101" s="25"/>
    </row>
    <row r="102" customFormat="false" ht="15" hidden="false" customHeight="false" outlineLevel="0" collapsed="false">
      <c r="A102" s="26"/>
      <c r="B102" s="25"/>
      <c r="C102" s="25"/>
      <c r="D102" s="25"/>
      <c r="E102" s="25"/>
      <c r="F102" s="25"/>
      <c r="G102" s="25"/>
      <c r="H102" s="25"/>
    </row>
    <row r="103" customFormat="false" ht="15" hidden="false" customHeight="false" outlineLevel="0" collapsed="false">
      <c r="A103" s="26"/>
      <c r="B103" s="25"/>
      <c r="C103" s="25"/>
      <c r="D103" s="25"/>
      <c r="E103" s="25"/>
      <c r="F103" s="25"/>
      <c r="G103" s="25"/>
      <c r="H103" s="25"/>
    </row>
    <row r="104" customFormat="false" ht="15" hidden="false" customHeight="false" outlineLevel="0" collapsed="false">
      <c r="A104" s="26"/>
      <c r="B104" s="25"/>
      <c r="C104" s="25"/>
      <c r="D104" s="25"/>
      <c r="E104" s="25"/>
      <c r="F104" s="25"/>
      <c r="G104" s="25"/>
      <c r="H104" s="25"/>
    </row>
    <row r="105" customFormat="false" ht="15" hidden="false" customHeight="false" outlineLevel="0" collapsed="false">
      <c r="A105" s="26"/>
      <c r="B105" s="25"/>
      <c r="C105" s="25"/>
      <c r="D105" s="25"/>
      <c r="E105" s="25"/>
      <c r="F105" s="25"/>
      <c r="G105" s="25"/>
      <c r="H105" s="25"/>
    </row>
    <row r="106" customFormat="false" ht="15" hidden="false" customHeight="false" outlineLevel="0" collapsed="false">
      <c r="A106" s="26"/>
      <c r="B106" s="25"/>
      <c r="C106" s="25"/>
      <c r="D106" s="25"/>
      <c r="E106" s="25"/>
      <c r="F106" s="25"/>
      <c r="G106" s="25"/>
      <c r="H106" s="25"/>
    </row>
    <row r="107" customFormat="false" ht="15" hidden="false" customHeight="false" outlineLevel="0" collapsed="false">
      <c r="A107" s="26"/>
      <c r="B107" s="25"/>
      <c r="C107" s="25"/>
      <c r="D107" s="25"/>
      <c r="E107" s="25"/>
      <c r="F107" s="25"/>
      <c r="G107" s="25"/>
      <c r="H107" s="25"/>
    </row>
    <row r="108" customFormat="false" ht="15" hidden="false" customHeight="false" outlineLevel="0" collapsed="false">
      <c r="A108" s="26"/>
      <c r="B108" s="25"/>
      <c r="C108" s="25"/>
      <c r="D108" s="25"/>
      <c r="E108" s="25"/>
      <c r="F108" s="25"/>
      <c r="G108" s="25"/>
      <c r="H108" s="25"/>
    </row>
    <row r="109" customFormat="false" ht="15" hidden="false" customHeight="false" outlineLevel="0" collapsed="false">
      <c r="A109" s="26"/>
      <c r="B109" s="25"/>
      <c r="C109" s="25"/>
      <c r="D109" s="25"/>
      <c r="E109" s="25"/>
      <c r="F109" s="25"/>
      <c r="G109" s="25"/>
      <c r="H109" s="25"/>
    </row>
    <row r="110" customFormat="false" ht="15" hidden="false" customHeight="false" outlineLevel="0" collapsed="false">
      <c r="A110" s="26"/>
      <c r="B110" s="25"/>
      <c r="C110" s="25"/>
      <c r="D110" s="25"/>
      <c r="E110" s="25"/>
      <c r="F110" s="25"/>
      <c r="G110" s="25"/>
      <c r="H110" s="25"/>
    </row>
    <row r="111" customFormat="false" ht="15" hidden="false" customHeight="false" outlineLevel="0" collapsed="false">
      <c r="A111" s="26"/>
      <c r="B111" s="25"/>
      <c r="C111" s="25"/>
      <c r="D111" s="25"/>
      <c r="E111" s="25"/>
      <c r="F111" s="25"/>
      <c r="G111" s="25"/>
      <c r="H111" s="25"/>
    </row>
    <row r="112" customFormat="false" ht="15" hidden="false" customHeight="false" outlineLevel="0" collapsed="false">
      <c r="A112" s="26"/>
      <c r="B112" s="25"/>
      <c r="C112" s="25"/>
      <c r="D112" s="25"/>
      <c r="E112" s="25"/>
      <c r="F112" s="25"/>
      <c r="G112" s="25"/>
      <c r="H112" s="25"/>
    </row>
    <row r="113" customFormat="false" ht="15" hidden="false" customHeight="false" outlineLevel="0" collapsed="false">
      <c r="A113" s="26"/>
      <c r="B113" s="25"/>
      <c r="C113" s="25"/>
      <c r="D113" s="25"/>
      <c r="E113" s="25"/>
      <c r="F113" s="25"/>
      <c r="G113" s="25"/>
      <c r="H113" s="25"/>
    </row>
    <row r="114" customFormat="false" ht="15" hidden="false" customHeight="false" outlineLevel="0" collapsed="false">
      <c r="A114" s="26"/>
      <c r="B114" s="25"/>
      <c r="C114" s="25"/>
      <c r="D114" s="25"/>
      <c r="E114" s="25"/>
      <c r="F114" s="25"/>
      <c r="G114" s="25"/>
      <c r="H114" s="25"/>
    </row>
    <row r="115" customFormat="false" ht="15" hidden="false" customHeight="false" outlineLevel="0" collapsed="false">
      <c r="A115" s="26"/>
      <c r="B115" s="25"/>
      <c r="C115" s="25"/>
      <c r="D115" s="25"/>
      <c r="E115" s="25"/>
      <c r="F115" s="25"/>
      <c r="G115" s="25"/>
      <c r="H115" s="25"/>
    </row>
    <row r="116" customFormat="false" ht="15" hidden="false" customHeight="false" outlineLevel="0" collapsed="false">
      <c r="A116" s="26"/>
      <c r="B116" s="25"/>
      <c r="C116" s="25"/>
      <c r="D116" s="25"/>
      <c r="E116" s="25"/>
      <c r="F116" s="25"/>
      <c r="G116" s="25"/>
      <c r="H116" s="25"/>
    </row>
    <row r="117" customFormat="false" ht="15" hidden="false" customHeight="false" outlineLevel="0" collapsed="false">
      <c r="A117" s="26"/>
      <c r="B117" s="25"/>
      <c r="C117" s="25"/>
      <c r="D117" s="25"/>
      <c r="E117" s="25"/>
      <c r="F117" s="25"/>
      <c r="G117" s="25"/>
      <c r="H117" s="25"/>
    </row>
    <row r="118" customFormat="false" ht="15" hidden="false" customHeight="false" outlineLevel="0" collapsed="false">
      <c r="A118" s="26"/>
      <c r="B118" s="25"/>
      <c r="C118" s="25"/>
      <c r="D118" s="25"/>
      <c r="E118" s="25"/>
      <c r="F118" s="25"/>
      <c r="G118" s="25"/>
      <c r="H118" s="25"/>
    </row>
    <row r="119" customFormat="false" ht="15" hidden="false" customHeight="false" outlineLevel="0" collapsed="false">
      <c r="A119" s="26"/>
      <c r="B119" s="25"/>
      <c r="C119" s="25"/>
      <c r="D119" s="25"/>
      <c r="E119" s="25"/>
      <c r="F119" s="25"/>
      <c r="G119" s="25"/>
      <c r="H119" s="25"/>
    </row>
    <row r="120" customFormat="false" ht="15" hidden="false" customHeight="false" outlineLevel="0" collapsed="false">
      <c r="A120" s="26"/>
      <c r="B120" s="25"/>
      <c r="C120" s="25"/>
      <c r="D120" s="25"/>
      <c r="E120" s="25"/>
      <c r="F120" s="25"/>
      <c r="G120" s="25"/>
      <c r="H120" s="25"/>
    </row>
    <row r="121" customFormat="false" ht="15" hidden="false" customHeight="false" outlineLevel="0" collapsed="false">
      <c r="A121" s="26"/>
      <c r="B121" s="25"/>
      <c r="C121" s="25"/>
      <c r="D121" s="25"/>
      <c r="E121" s="25"/>
      <c r="F121" s="25"/>
      <c r="G121" s="25"/>
      <c r="H121" s="25"/>
    </row>
    <row r="122" customFormat="false" ht="15" hidden="false" customHeight="false" outlineLevel="0" collapsed="false">
      <c r="A122" s="26"/>
      <c r="B122" s="25"/>
      <c r="C122" s="25"/>
      <c r="D122" s="25"/>
      <c r="E122" s="25"/>
      <c r="F122" s="25"/>
      <c r="G122" s="25"/>
      <c r="H122" s="25"/>
    </row>
    <row r="123" customFormat="false" ht="15" hidden="false" customHeight="false" outlineLevel="0" collapsed="false">
      <c r="A123" s="26"/>
      <c r="B123" s="25"/>
      <c r="C123" s="25"/>
      <c r="D123" s="25"/>
      <c r="E123" s="25"/>
      <c r="F123" s="25"/>
      <c r="G123" s="25"/>
      <c r="H123" s="25"/>
    </row>
    <row r="124" customFormat="false" ht="15" hidden="false" customHeight="false" outlineLevel="0" collapsed="false">
      <c r="A124" s="26"/>
      <c r="B124" s="25"/>
      <c r="C124" s="25"/>
      <c r="D124" s="25"/>
      <c r="E124" s="25"/>
      <c r="F124" s="25"/>
      <c r="G124" s="25"/>
      <c r="H124" s="25"/>
    </row>
    <row r="125" customFormat="false" ht="15" hidden="false" customHeight="false" outlineLevel="0" collapsed="false">
      <c r="A125" s="26"/>
      <c r="B125" s="25"/>
      <c r="C125" s="25"/>
      <c r="D125" s="25"/>
      <c r="E125" s="25"/>
      <c r="F125" s="25"/>
      <c r="G125" s="25"/>
      <c r="H125" s="25"/>
    </row>
    <row r="126" customFormat="false" ht="15" hidden="false" customHeight="false" outlineLevel="0" collapsed="false">
      <c r="A126" s="26"/>
      <c r="B126" s="25"/>
      <c r="C126" s="25"/>
      <c r="D126" s="25"/>
      <c r="E126" s="25"/>
      <c r="F126" s="25"/>
      <c r="G126" s="25"/>
      <c r="H126" s="25"/>
    </row>
    <row r="127" customFormat="false" ht="15" hidden="false" customHeight="false" outlineLevel="0" collapsed="false">
      <c r="A127" s="26"/>
      <c r="B127" s="25"/>
      <c r="C127" s="25"/>
      <c r="D127" s="25"/>
      <c r="E127" s="25"/>
      <c r="F127" s="25"/>
      <c r="G127" s="25"/>
      <c r="H127" s="25"/>
    </row>
    <row r="128" customFormat="false" ht="15" hidden="false" customHeight="false" outlineLevel="0" collapsed="false">
      <c r="A128" s="26"/>
      <c r="B128" s="25"/>
      <c r="C128" s="25"/>
      <c r="D128" s="25"/>
      <c r="E128" s="25"/>
      <c r="F128" s="25"/>
      <c r="G128" s="25"/>
      <c r="H128" s="25"/>
    </row>
    <row r="129" customFormat="false" ht="15" hidden="false" customHeight="false" outlineLevel="0" collapsed="false">
      <c r="A129" s="26"/>
      <c r="B129" s="25"/>
      <c r="C129" s="25"/>
      <c r="D129" s="25"/>
      <c r="E129" s="25"/>
      <c r="F129" s="25"/>
      <c r="G129" s="25"/>
      <c r="H129" s="25"/>
    </row>
    <row r="130" customFormat="false" ht="15" hidden="false" customHeight="false" outlineLevel="0" collapsed="false">
      <c r="A130" s="26"/>
      <c r="B130" s="25"/>
      <c r="C130" s="25"/>
      <c r="D130" s="25"/>
      <c r="E130" s="25"/>
      <c r="F130" s="25"/>
      <c r="G130" s="25"/>
      <c r="H130" s="25"/>
    </row>
    <row r="131" customFormat="false" ht="15" hidden="false" customHeight="false" outlineLevel="0" collapsed="false">
      <c r="A131" s="26"/>
      <c r="B131" s="25"/>
      <c r="C131" s="25"/>
      <c r="D131" s="25"/>
      <c r="E131" s="25"/>
      <c r="F131" s="25"/>
      <c r="G131" s="25"/>
      <c r="H131" s="25"/>
    </row>
    <row r="132" customFormat="false" ht="15" hidden="false" customHeight="false" outlineLevel="0" collapsed="false">
      <c r="A132" s="26"/>
      <c r="B132" s="25"/>
      <c r="C132" s="25"/>
      <c r="D132" s="25"/>
      <c r="E132" s="25"/>
      <c r="F132" s="25"/>
      <c r="G132" s="25"/>
      <c r="H132" s="25"/>
    </row>
    <row r="133" customFormat="false" ht="15" hidden="false" customHeight="false" outlineLevel="0" collapsed="false">
      <c r="A133" s="26"/>
      <c r="B133" s="25"/>
      <c r="C133" s="25"/>
      <c r="D133" s="25"/>
      <c r="E133" s="25"/>
      <c r="F133" s="25"/>
      <c r="G133" s="25"/>
      <c r="H133" s="25"/>
    </row>
    <row r="134" customFormat="false" ht="15" hidden="false" customHeight="false" outlineLevel="0" collapsed="false">
      <c r="A134" s="26"/>
      <c r="B134" s="25"/>
      <c r="C134" s="25"/>
      <c r="D134" s="25"/>
      <c r="E134" s="25"/>
      <c r="F134" s="25"/>
      <c r="G134" s="25"/>
      <c r="H134" s="25"/>
    </row>
    <row r="135" customFormat="false" ht="15" hidden="false" customHeight="false" outlineLevel="0" collapsed="false">
      <c r="A135" s="26"/>
      <c r="B135" s="25"/>
      <c r="C135" s="25"/>
      <c r="D135" s="25"/>
      <c r="E135" s="25"/>
      <c r="F135" s="25"/>
      <c r="G135" s="25"/>
      <c r="H135" s="25"/>
    </row>
    <row r="136" customFormat="false" ht="15" hidden="false" customHeight="false" outlineLevel="0" collapsed="false">
      <c r="A136" s="26"/>
      <c r="B136" s="25"/>
      <c r="C136" s="25"/>
      <c r="D136" s="25"/>
      <c r="E136" s="25"/>
      <c r="F136" s="25"/>
      <c r="G136" s="25"/>
      <c r="H136" s="25"/>
    </row>
    <row r="137" customFormat="false" ht="15" hidden="false" customHeight="false" outlineLevel="0" collapsed="false">
      <c r="A137" s="26"/>
      <c r="B137" s="25"/>
      <c r="C137" s="25"/>
      <c r="D137" s="25"/>
      <c r="E137" s="25"/>
      <c r="F137" s="25"/>
      <c r="G137" s="25"/>
      <c r="H137" s="25"/>
    </row>
    <row r="138" customFormat="false" ht="15" hidden="false" customHeight="false" outlineLevel="0" collapsed="false">
      <c r="A138" s="26"/>
      <c r="B138" s="25"/>
      <c r="C138" s="25"/>
      <c r="D138" s="25"/>
      <c r="E138" s="25"/>
      <c r="F138" s="25"/>
      <c r="G138" s="25"/>
      <c r="H138" s="25"/>
    </row>
    <row r="139" customFormat="false" ht="15" hidden="false" customHeight="false" outlineLevel="0" collapsed="false">
      <c r="A139" s="26"/>
      <c r="B139" s="25"/>
      <c r="C139" s="25"/>
      <c r="D139" s="25"/>
      <c r="E139" s="25"/>
      <c r="F139" s="25"/>
      <c r="G139" s="25"/>
      <c r="H139" s="25"/>
    </row>
    <row r="140" customFormat="false" ht="15" hidden="false" customHeight="false" outlineLevel="0" collapsed="false">
      <c r="A140" s="26"/>
      <c r="B140" s="25"/>
      <c r="C140" s="25"/>
      <c r="D140" s="25"/>
      <c r="E140" s="25"/>
      <c r="F140" s="25"/>
      <c r="G140" s="25"/>
      <c r="H140" s="25"/>
    </row>
    <row r="141" customFormat="false" ht="15" hidden="false" customHeight="false" outlineLevel="0" collapsed="false">
      <c r="A141" s="26"/>
      <c r="B141" s="25"/>
      <c r="C141" s="25"/>
      <c r="D141" s="25"/>
      <c r="E141" s="25"/>
      <c r="F141" s="25"/>
      <c r="G141" s="25"/>
      <c r="H141" s="25"/>
    </row>
    <row r="142" customFormat="false" ht="15" hidden="false" customHeight="false" outlineLevel="0" collapsed="false">
      <c r="A142" s="26"/>
      <c r="B142" s="25"/>
      <c r="C142" s="25"/>
      <c r="D142" s="25"/>
      <c r="E142" s="25"/>
      <c r="F142" s="25"/>
      <c r="G142" s="25"/>
      <c r="H142" s="25"/>
    </row>
    <row r="143" customFormat="false" ht="15" hidden="false" customHeight="false" outlineLevel="0" collapsed="false">
      <c r="A143" s="26"/>
      <c r="B143" s="25"/>
      <c r="C143" s="25"/>
      <c r="D143" s="25"/>
      <c r="E143" s="25"/>
      <c r="F143" s="25"/>
      <c r="G143" s="25"/>
      <c r="H143" s="25"/>
    </row>
    <row r="144" customFormat="false" ht="15" hidden="false" customHeight="false" outlineLevel="0" collapsed="false">
      <c r="A144" s="26"/>
      <c r="B144" s="25"/>
      <c r="C144" s="25"/>
      <c r="D144" s="25"/>
      <c r="E144" s="25"/>
      <c r="F144" s="25"/>
      <c r="G144" s="25"/>
      <c r="H144" s="25"/>
    </row>
    <row r="145" customFormat="false" ht="15" hidden="false" customHeight="false" outlineLevel="0" collapsed="false">
      <c r="A145" s="26"/>
      <c r="B145" s="25"/>
      <c r="C145" s="25"/>
      <c r="D145" s="25"/>
      <c r="E145" s="25"/>
      <c r="F145" s="25"/>
      <c r="G145" s="25"/>
      <c r="H145" s="25"/>
    </row>
    <row r="146" customFormat="false" ht="15" hidden="false" customHeight="false" outlineLevel="0" collapsed="false">
      <c r="A146" s="26"/>
      <c r="B146" s="25"/>
      <c r="C146" s="25"/>
      <c r="D146" s="25"/>
      <c r="E146" s="25"/>
      <c r="F146" s="25"/>
      <c r="G146" s="25"/>
      <c r="H146" s="25"/>
    </row>
    <row r="147" customFormat="false" ht="15" hidden="false" customHeight="false" outlineLevel="0" collapsed="false">
      <c r="A147" s="26"/>
      <c r="B147" s="25"/>
      <c r="C147" s="25"/>
      <c r="D147" s="25"/>
      <c r="E147" s="25"/>
      <c r="F147" s="25"/>
      <c r="G147" s="25"/>
      <c r="H147" s="25"/>
    </row>
    <row r="148" customFormat="false" ht="15" hidden="false" customHeight="false" outlineLevel="0" collapsed="false">
      <c r="A148" s="26"/>
      <c r="B148" s="25"/>
      <c r="C148" s="25"/>
      <c r="D148" s="25"/>
      <c r="E148" s="25"/>
      <c r="F148" s="25"/>
      <c r="G148" s="25"/>
      <c r="H148" s="25"/>
    </row>
    <row r="149" customFormat="false" ht="15" hidden="false" customHeight="false" outlineLevel="0" collapsed="false">
      <c r="A149" s="26"/>
      <c r="B149" s="25"/>
      <c r="C149" s="25"/>
      <c r="D149" s="25"/>
      <c r="E149" s="25"/>
      <c r="F149" s="25"/>
      <c r="G149" s="25"/>
      <c r="H149" s="25"/>
    </row>
    <row r="150" customFormat="false" ht="15" hidden="false" customHeight="false" outlineLevel="0" collapsed="false">
      <c r="A150" s="26"/>
      <c r="B150" s="25"/>
      <c r="C150" s="25"/>
      <c r="D150" s="25"/>
      <c r="E150" s="25"/>
      <c r="F150" s="25"/>
      <c r="G150" s="25"/>
      <c r="H150" s="25"/>
    </row>
    <row r="151" customFormat="false" ht="15" hidden="false" customHeight="false" outlineLevel="0" collapsed="false">
      <c r="A151" s="26"/>
      <c r="B151" s="25"/>
      <c r="C151" s="25"/>
      <c r="D151" s="25"/>
      <c r="E151" s="25"/>
      <c r="F151" s="25"/>
      <c r="G151" s="25"/>
      <c r="H151" s="25"/>
    </row>
    <row r="152" customFormat="false" ht="15" hidden="false" customHeight="false" outlineLevel="0" collapsed="false">
      <c r="A152" s="26"/>
      <c r="B152" s="25"/>
      <c r="C152" s="25"/>
      <c r="D152" s="25"/>
      <c r="E152" s="25"/>
      <c r="F152" s="25"/>
      <c r="G152" s="25"/>
      <c r="H152" s="25"/>
    </row>
    <row r="153" customFormat="false" ht="15" hidden="false" customHeight="false" outlineLevel="0" collapsed="false">
      <c r="A153" s="26"/>
      <c r="B153" s="25"/>
      <c r="C153" s="25"/>
      <c r="D153" s="25"/>
      <c r="E153" s="25"/>
      <c r="F153" s="25"/>
      <c r="G153" s="25"/>
      <c r="H153" s="25"/>
    </row>
    <row r="154" customFormat="false" ht="15" hidden="false" customHeight="false" outlineLevel="0" collapsed="false">
      <c r="A154" s="26"/>
      <c r="B154" s="25"/>
      <c r="C154" s="25"/>
      <c r="D154" s="25"/>
      <c r="E154" s="25"/>
      <c r="F154" s="25"/>
      <c r="G154" s="25"/>
      <c r="H154" s="25"/>
    </row>
    <row r="155" customFormat="false" ht="15" hidden="false" customHeight="false" outlineLevel="0" collapsed="false">
      <c r="A155" s="26"/>
      <c r="B155" s="25"/>
      <c r="C155" s="25"/>
      <c r="D155" s="25"/>
      <c r="E155" s="25"/>
      <c r="F155" s="25"/>
      <c r="G155" s="25"/>
      <c r="H155" s="25"/>
    </row>
    <row r="156" customFormat="false" ht="15" hidden="false" customHeight="false" outlineLevel="0" collapsed="false">
      <c r="A156" s="26"/>
      <c r="B156" s="25"/>
      <c r="C156" s="25"/>
      <c r="D156" s="25"/>
      <c r="E156" s="25"/>
      <c r="F156" s="25"/>
      <c r="G156" s="25"/>
      <c r="H156" s="25"/>
    </row>
    <row r="157" customFormat="false" ht="15" hidden="false" customHeight="false" outlineLevel="0" collapsed="false">
      <c r="A157" s="26"/>
      <c r="B157" s="25"/>
      <c r="C157" s="25"/>
      <c r="D157" s="25"/>
      <c r="E157" s="25"/>
      <c r="F157" s="25"/>
      <c r="G157" s="25"/>
      <c r="H157" s="25"/>
    </row>
    <row r="158" customFormat="false" ht="15" hidden="false" customHeight="false" outlineLevel="0" collapsed="false">
      <c r="A158" s="26"/>
      <c r="B158" s="25"/>
      <c r="C158" s="25"/>
      <c r="D158" s="25"/>
      <c r="E158" s="25"/>
      <c r="F158" s="25"/>
      <c r="G158" s="25"/>
      <c r="H158" s="25"/>
    </row>
    <row r="159" customFormat="false" ht="15" hidden="false" customHeight="false" outlineLevel="0" collapsed="false">
      <c r="A159" s="26"/>
      <c r="B159" s="25"/>
      <c r="C159" s="25"/>
      <c r="D159" s="25"/>
      <c r="E159" s="25"/>
      <c r="F159" s="25"/>
      <c r="G159" s="25"/>
      <c r="H159" s="25"/>
    </row>
    <row r="160" customFormat="false" ht="15" hidden="false" customHeight="false" outlineLevel="0" collapsed="false">
      <c r="A160" s="26"/>
      <c r="B160" s="25"/>
      <c r="C160" s="25"/>
      <c r="D160" s="25"/>
      <c r="E160" s="25"/>
      <c r="F160" s="25"/>
      <c r="G160" s="25"/>
      <c r="H160" s="25"/>
    </row>
    <row r="161" customFormat="false" ht="15" hidden="false" customHeight="false" outlineLevel="0" collapsed="false">
      <c r="A161" s="26"/>
      <c r="B161" s="25"/>
      <c r="C161" s="25"/>
      <c r="D161" s="25"/>
      <c r="E161" s="25"/>
      <c r="F161" s="25"/>
      <c r="G161" s="25"/>
      <c r="H161" s="25"/>
    </row>
    <row r="162" customFormat="false" ht="15" hidden="false" customHeight="false" outlineLevel="0" collapsed="false">
      <c r="A162" s="26"/>
      <c r="B162" s="25"/>
      <c r="C162" s="25"/>
      <c r="D162" s="25"/>
      <c r="E162" s="25"/>
      <c r="F162" s="25"/>
      <c r="G162" s="25"/>
      <c r="H162" s="25"/>
    </row>
    <row r="163" customFormat="false" ht="15" hidden="false" customHeight="false" outlineLevel="0" collapsed="false">
      <c r="A163" s="26"/>
      <c r="B163" s="25"/>
      <c r="C163" s="25"/>
      <c r="D163" s="25"/>
      <c r="E163" s="25"/>
      <c r="F163" s="25"/>
      <c r="G163" s="25"/>
      <c r="H163" s="25"/>
    </row>
    <row r="164" customFormat="false" ht="15" hidden="false" customHeight="false" outlineLevel="0" collapsed="false">
      <c r="A164" s="26"/>
      <c r="B164" s="25"/>
      <c r="C164" s="25"/>
      <c r="D164" s="25"/>
      <c r="E164" s="25"/>
      <c r="F164" s="25"/>
      <c r="G164" s="25"/>
      <c r="H164" s="25"/>
    </row>
    <row r="165" customFormat="false" ht="15" hidden="false" customHeight="false" outlineLevel="0" collapsed="false">
      <c r="A165" s="26"/>
      <c r="B165" s="25"/>
      <c r="C165" s="25"/>
      <c r="D165" s="25"/>
      <c r="E165" s="25"/>
      <c r="F165" s="25"/>
      <c r="G165" s="25"/>
      <c r="H165" s="25"/>
    </row>
    <row r="166" customFormat="false" ht="15" hidden="false" customHeight="false" outlineLevel="0" collapsed="false">
      <c r="A166" s="26"/>
      <c r="B166" s="25"/>
      <c r="C166" s="25"/>
      <c r="D166" s="25"/>
      <c r="E166" s="25"/>
      <c r="F166" s="25"/>
      <c r="G166" s="25"/>
      <c r="H166" s="25"/>
    </row>
    <row r="167" customFormat="false" ht="15" hidden="false" customHeight="false" outlineLevel="0" collapsed="false">
      <c r="A167" s="26"/>
      <c r="B167" s="25"/>
      <c r="C167" s="25"/>
      <c r="D167" s="25"/>
      <c r="E167" s="25"/>
      <c r="F167" s="25"/>
      <c r="G167" s="25"/>
      <c r="H167" s="25"/>
    </row>
    <row r="168" customFormat="false" ht="15" hidden="false" customHeight="false" outlineLevel="0" collapsed="false">
      <c r="A168" s="26"/>
      <c r="B168" s="25"/>
      <c r="C168" s="25"/>
      <c r="D168" s="25"/>
      <c r="E168" s="25"/>
      <c r="F168" s="25"/>
      <c r="G168" s="25"/>
      <c r="H168" s="25"/>
    </row>
    <row r="169" customFormat="false" ht="15" hidden="false" customHeight="false" outlineLevel="0" collapsed="false">
      <c r="A169" s="26"/>
      <c r="B169" s="25"/>
      <c r="C169" s="25"/>
      <c r="D169" s="25"/>
      <c r="E169" s="25"/>
      <c r="F169" s="25"/>
      <c r="G169" s="25"/>
      <c r="H169" s="25"/>
    </row>
    <row r="170" customFormat="false" ht="15" hidden="false" customHeight="false" outlineLevel="0" collapsed="false">
      <c r="A170" s="26"/>
      <c r="B170" s="25"/>
      <c r="C170" s="25"/>
      <c r="D170" s="25"/>
      <c r="E170" s="25"/>
      <c r="F170" s="25"/>
      <c r="G170" s="25"/>
      <c r="H170" s="25"/>
    </row>
    <row r="171" customFormat="false" ht="15" hidden="false" customHeight="false" outlineLevel="0" collapsed="false">
      <c r="A171" s="26"/>
      <c r="B171" s="25"/>
      <c r="C171" s="25"/>
      <c r="D171" s="25"/>
      <c r="E171" s="25"/>
      <c r="F171" s="25"/>
      <c r="G171" s="25"/>
      <c r="H171" s="25"/>
    </row>
    <row r="172" customFormat="false" ht="15" hidden="false" customHeight="false" outlineLevel="0" collapsed="false">
      <c r="A172" s="26"/>
      <c r="B172" s="25"/>
      <c r="C172" s="25"/>
      <c r="D172" s="25"/>
      <c r="E172" s="25"/>
      <c r="F172" s="25"/>
      <c r="G172" s="25"/>
      <c r="H172" s="25"/>
    </row>
    <row r="173" customFormat="false" ht="15" hidden="false" customHeight="false" outlineLevel="0" collapsed="false">
      <c r="A173" s="26"/>
      <c r="B173" s="25"/>
      <c r="C173" s="25"/>
      <c r="D173" s="25"/>
      <c r="E173" s="25"/>
      <c r="F173" s="25"/>
      <c r="G173" s="25"/>
      <c r="H173" s="25"/>
    </row>
    <row r="174" customFormat="false" ht="15" hidden="false" customHeight="false" outlineLevel="0" collapsed="false">
      <c r="A174" s="26"/>
      <c r="B174" s="25"/>
      <c r="C174" s="25"/>
      <c r="D174" s="25"/>
      <c r="E174" s="25"/>
      <c r="F174" s="25"/>
      <c r="G174" s="25"/>
      <c r="H174" s="25"/>
    </row>
    <row r="175" customFormat="false" ht="15" hidden="false" customHeight="false" outlineLevel="0" collapsed="false">
      <c r="A175" s="26"/>
      <c r="B175" s="25"/>
      <c r="C175" s="25"/>
      <c r="D175" s="25"/>
      <c r="E175" s="25"/>
      <c r="F175" s="25"/>
      <c r="G175" s="25"/>
      <c r="H175" s="25"/>
    </row>
    <row r="176" customFormat="false" ht="15" hidden="false" customHeight="false" outlineLevel="0" collapsed="false">
      <c r="A176" s="26"/>
      <c r="B176" s="25"/>
      <c r="C176" s="25"/>
      <c r="D176" s="25"/>
      <c r="E176" s="25"/>
      <c r="F176" s="25"/>
      <c r="G176" s="25"/>
      <c r="H176" s="25"/>
    </row>
    <row r="177" customFormat="false" ht="15" hidden="false" customHeight="false" outlineLevel="0" collapsed="false">
      <c r="A177" s="26"/>
      <c r="B177" s="25"/>
      <c r="C177" s="25"/>
      <c r="D177" s="25"/>
      <c r="E177" s="25"/>
      <c r="F177" s="25"/>
      <c r="G177" s="25"/>
      <c r="H177" s="25"/>
    </row>
    <row r="178" customFormat="false" ht="15" hidden="false" customHeight="false" outlineLevel="0" collapsed="false">
      <c r="A178" s="26"/>
      <c r="B178" s="25"/>
      <c r="C178" s="25"/>
      <c r="D178" s="25"/>
      <c r="E178" s="25"/>
      <c r="F178" s="25"/>
      <c r="G178" s="25"/>
      <c r="H178" s="25"/>
    </row>
    <row r="179" customFormat="false" ht="15" hidden="false" customHeight="false" outlineLevel="0" collapsed="false">
      <c r="A179" s="26"/>
      <c r="B179" s="25"/>
      <c r="C179" s="25"/>
      <c r="D179" s="25"/>
      <c r="E179" s="25"/>
      <c r="F179" s="25"/>
      <c r="G179" s="25"/>
      <c r="H179" s="25"/>
    </row>
    <row r="180" customFormat="false" ht="15" hidden="false" customHeight="false" outlineLevel="0" collapsed="false">
      <c r="A180" s="26"/>
      <c r="B180" s="25"/>
      <c r="C180" s="25"/>
      <c r="D180" s="25"/>
      <c r="E180" s="25"/>
      <c r="F180" s="25"/>
      <c r="G180" s="25"/>
      <c r="H180" s="25"/>
    </row>
    <row r="181" customFormat="false" ht="15" hidden="false" customHeight="false" outlineLevel="0" collapsed="false">
      <c r="A181" s="26"/>
      <c r="B181" s="25"/>
      <c r="C181" s="25"/>
      <c r="D181" s="25"/>
      <c r="E181" s="25"/>
      <c r="F181" s="25"/>
      <c r="G181" s="25"/>
      <c r="H181" s="25"/>
    </row>
    <row r="182" customFormat="false" ht="15" hidden="false" customHeight="false" outlineLevel="0" collapsed="false">
      <c r="A182" s="26"/>
      <c r="B182" s="25"/>
      <c r="C182" s="25"/>
      <c r="D182" s="25"/>
      <c r="E182" s="25"/>
      <c r="F182" s="25"/>
      <c r="G182" s="25"/>
      <c r="H182" s="25"/>
    </row>
    <row r="183" customFormat="false" ht="15" hidden="false" customHeight="false" outlineLevel="0" collapsed="false">
      <c r="A183" s="26"/>
      <c r="B183" s="25"/>
      <c r="C183" s="25"/>
      <c r="D183" s="25"/>
      <c r="E183" s="25"/>
      <c r="F183" s="25"/>
      <c r="G183" s="25"/>
      <c r="H183" s="25"/>
    </row>
    <row r="184" customFormat="false" ht="15" hidden="false" customHeight="false" outlineLevel="0" collapsed="false">
      <c r="A184" s="26"/>
      <c r="B184" s="25"/>
      <c r="C184" s="25"/>
      <c r="D184" s="25"/>
      <c r="E184" s="25"/>
      <c r="F184" s="25"/>
      <c r="G184" s="25"/>
      <c r="H184" s="25"/>
    </row>
    <row r="185" customFormat="false" ht="15" hidden="false" customHeight="false" outlineLevel="0" collapsed="false">
      <c r="A185" s="26"/>
      <c r="B185" s="25"/>
      <c r="C185" s="25"/>
      <c r="D185" s="25"/>
      <c r="E185" s="25"/>
      <c r="F185" s="25"/>
      <c r="G185" s="25"/>
      <c r="H185" s="25"/>
    </row>
    <row r="186" customFormat="false" ht="15" hidden="false" customHeight="false" outlineLevel="0" collapsed="false">
      <c r="A186" s="26"/>
      <c r="B186" s="25"/>
      <c r="C186" s="25"/>
      <c r="D186" s="25"/>
      <c r="E186" s="25"/>
      <c r="F186" s="25"/>
      <c r="G186" s="25"/>
      <c r="H186" s="25"/>
    </row>
    <row r="187" customFormat="false" ht="15" hidden="false" customHeight="false" outlineLevel="0" collapsed="false">
      <c r="A187" s="26"/>
      <c r="B187" s="25"/>
      <c r="C187" s="25"/>
      <c r="D187" s="25"/>
      <c r="E187" s="25"/>
      <c r="F187" s="25"/>
      <c r="G187" s="25"/>
      <c r="H187" s="25"/>
    </row>
    <row r="188" customFormat="false" ht="15" hidden="false" customHeight="false" outlineLevel="0" collapsed="false">
      <c r="A188" s="26"/>
      <c r="B188" s="25"/>
      <c r="C188" s="25"/>
      <c r="D188" s="25"/>
      <c r="E188" s="25"/>
      <c r="F188" s="25"/>
      <c r="G188" s="25"/>
      <c r="H188" s="25"/>
    </row>
    <row r="189" customFormat="false" ht="15" hidden="false" customHeight="false" outlineLevel="0" collapsed="false">
      <c r="A189" s="26"/>
      <c r="B189" s="25"/>
      <c r="C189" s="25"/>
      <c r="D189" s="25"/>
      <c r="E189" s="25"/>
      <c r="F189" s="25"/>
      <c r="G189" s="25"/>
      <c r="H189" s="25"/>
    </row>
    <row r="190" customFormat="false" ht="15" hidden="false" customHeight="false" outlineLevel="0" collapsed="false">
      <c r="A190" s="26"/>
      <c r="B190" s="25"/>
      <c r="C190" s="25"/>
      <c r="D190" s="25"/>
      <c r="E190" s="25"/>
      <c r="F190" s="25"/>
      <c r="G190" s="25"/>
      <c r="H190" s="25"/>
    </row>
    <row r="191" customFormat="false" ht="15" hidden="false" customHeight="false" outlineLevel="0" collapsed="false">
      <c r="A191" s="26"/>
      <c r="B191" s="25"/>
      <c r="C191" s="25"/>
      <c r="D191" s="25"/>
      <c r="E191" s="25"/>
      <c r="F191" s="25"/>
      <c r="G191" s="25"/>
      <c r="H191" s="25"/>
    </row>
    <row r="192" customFormat="false" ht="15" hidden="false" customHeight="false" outlineLevel="0" collapsed="false">
      <c r="A192" s="26"/>
      <c r="B192" s="25"/>
      <c r="C192" s="25"/>
      <c r="D192" s="25"/>
      <c r="E192" s="25"/>
      <c r="F192" s="25"/>
      <c r="G192" s="25"/>
      <c r="H192" s="25"/>
    </row>
    <row r="193" customFormat="false" ht="15" hidden="false" customHeight="false" outlineLevel="0" collapsed="false">
      <c r="A193" s="26"/>
      <c r="B193" s="25"/>
      <c r="C193" s="25"/>
      <c r="D193" s="25"/>
      <c r="E193" s="25"/>
      <c r="F193" s="25"/>
      <c r="G193" s="25"/>
      <c r="H193" s="25"/>
    </row>
    <row r="194" customFormat="false" ht="15" hidden="false" customHeight="false" outlineLevel="0" collapsed="false">
      <c r="A194" s="26"/>
      <c r="B194" s="25"/>
      <c r="C194" s="25"/>
      <c r="D194" s="25"/>
      <c r="E194" s="25"/>
      <c r="F194" s="25"/>
      <c r="G194" s="25"/>
      <c r="H194" s="25"/>
    </row>
    <row r="195" customFormat="false" ht="15" hidden="false" customHeight="false" outlineLevel="0" collapsed="false">
      <c r="A195" s="26"/>
      <c r="B195" s="25"/>
      <c r="C195" s="25"/>
      <c r="D195" s="25"/>
      <c r="E195" s="25"/>
      <c r="F195" s="25"/>
      <c r="G195" s="25"/>
      <c r="H195" s="25"/>
    </row>
    <row r="196" customFormat="false" ht="15" hidden="false" customHeight="false" outlineLevel="0" collapsed="false">
      <c r="A196" s="26"/>
      <c r="B196" s="25"/>
      <c r="C196" s="25"/>
      <c r="D196" s="25"/>
      <c r="E196" s="25"/>
      <c r="F196" s="25"/>
      <c r="G196" s="25"/>
      <c r="H196" s="25"/>
    </row>
    <row r="197" customFormat="false" ht="15" hidden="false" customHeight="false" outlineLevel="0" collapsed="false">
      <c r="A197" s="26"/>
      <c r="B197" s="25"/>
      <c r="C197" s="25"/>
      <c r="D197" s="25"/>
      <c r="E197" s="25"/>
      <c r="F197" s="25"/>
      <c r="G197" s="25"/>
      <c r="H197" s="25"/>
    </row>
    <row r="198" customFormat="false" ht="15" hidden="false" customHeight="false" outlineLevel="0" collapsed="false">
      <c r="A198" s="26"/>
      <c r="B198" s="25"/>
      <c r="C198" s="25"/>
      <c r="D198" s="25"/>
      <c r="E198" s="25"/>
      <c r="F198" s="25"/>
      <c r="G198" s="25"/>
      <c r="H198" s="25"/>
    </row>
    <row r="199" customFormat="false" ht="15" hidden="false" customHeight="false" outlineLevel="0" collapsed="false">
      <c r="A199" s="26"/>
      <c r="B199" s="25"/>
      <c r="C199" s="25"/>
      <c r="D199" s="25"/>
      <c r="E199" s="25"/>
      <c r="F199" s="25"/>
      <c r="G199" s="25"/>
      <c r="H199" s="25"/>
    </row>
    <row r="200" customFormat="false" ht="15" hidden="false" customHeight="false" outlineLevel="0" collapsed="false">
      <c r="A200" s="26"/>
      <c r="B200" s="25"/>
      <c r="C200" s="25"/>
      <c r="D200" s="25"/>
      <c r="E200" s="25"/>
      <c r="F200" s="25"/>
      <c r="G200" s="25"/>
      <c r="H200" s="25"/>
    </row>
  </sheetData>
  <dataValidations count="2">
    <dataValidation allowBlank="true" errorStyle="stop" operator="between" showDropDown="false" showErrorMessage="false" showInputMessage="false" sqref="E3:E200" type="list">
      <formula1>"Concept,Silly,Time,Guess"</formula1>
      <formula2>0</formula2>
    </dataValidation>
    <dataValidation allowBlank="true" errorStyle="stop" operator="between" showDropDown="false" showErrorMessage="false" showInputMessage="false" sqref="H3:H2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70"/>
  </cols>
  <sheetData>
    <row r="1" customFormat="false" ht="15" hidden="false" customHeight="false" outlineLevel="0" collapsed="false">
      <c r="A1" s="9" t="s">
        <v>152</v>
      </c>
    </row>
    <row r="2" customFormat="false" ht="15" hidden="false" customHeight="false" outlineLevel="0" collapsed="false">
      <c r="A2" s="16" t="s">
        <v>17</v>
      </c>
      <c r="B2" s="16" t="s">
        <v>153</v>
      </c>
      <c r="C2" s="16" t="s">
        <v>154</v>
      </c>
    </row>
    <row r="3" customFormat="false" ht="35.05" hidden="false" customHeight="false" outlineLevel="0" collapsed="false">
      <c r="A3" s="27" t="s">
        <v>29</v>
      </c>
      <c r="B3" s="28" t="s">
        <v>155</v>
      </c>
      <c r="C3" s="28" t="s">
        <v>156</v>
      </c>
    </row>
    <row r="4" customFormat="false" ht="35.05" hidden="false" customHeight="false" outlineLevel="0" collapsed="false">
      <c r="A4" s="27" t="s">
        <v>30</v>
      </c>
      <c r="B4" s="28" t="s">
        <v>157</v>
      </c>
      <c r="C4" s="28" t="s">
        <v>158</v>
      </c>
    </row>
    <row r="5" customFormat="false" ht="35.05" hidden="false" customHeight="false" outlineLevel="0" collapsed="false">
      <c r="A5" s="27" t="s">
        <v>31</v>
      </c>
      <c r="B5" s="28" t="s">
        <v>159</v>
      </c>
      <c r="C5" s="28" t="s">
        <v>160</v>
      </c>
    </row>
    <row r="6" customFormat="false" ht="23.85" hidden="false" customHeight="false" outlineLevel="0" collapsed="false">
      <c r="A6" s="27" t="s">
        <v>161</v>
      </c>
      <c r="B6" s="28" t="s">
        <v>162</v>
      </c>
      <c r="C6" s="28" t="s">
        <v>163</v>
      </c>
    </row>
    <row r="7" customFormat="false" ht="23.85" hidden="false" customHeight="false" outlineLevel="0" collapsed="false">
      <c r="A7" s="27" t="s">
        <v>164</v>
      </c>
      <c r="B7" s="28" t="s">
        <v>165</v>
      </c>
      <c r="C7" s="28" t="s">
        <v>166</v>
      </c>
    </row>
    <row r="9" customFormat="false" ht="15" hidden="false" customHeight="false" outlineLevel="0" collapsed="false">
      <c r="A9" s="2" t="s">
        <v>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2026-10-24T20:44:48Z</dcterms:created>
  <dc:creator>openpyxl</dc:creator>
  <dc:description/>
  <dc:language>en-US</dc:language>
  <cp:lastModifiedBy/>
  <dcterms:modified xsi:type="dcterms:W3CDTF">2026-10-24T20:44:48Z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